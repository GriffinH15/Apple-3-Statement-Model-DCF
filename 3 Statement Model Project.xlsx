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c241c93df1fd1f/Desktop/"/>
    </mc:Choice>
  </mc:AlternateContent>
  <xr:revisionPtr revIDLastSave="234" documentId="8_{11883A49-FEA4-4A0F-A2BC-DC2AEC4E0BA5}" xr6:coauthVersionLast="47" xr6:coauthVersionMax="47" xr10:uidLastSave="{59701BFA-839A-412D-A4C3-75C060F60899}"/>
  <bookViews>
    <workbookView xWindow="-108" yWindow="-108" windowWidth="23256" windowHeight="13896" xr2:uid="{F1C47FDB-0919-4AEE-A0AB-5FE0CDA6CD5F}"/>
  </bookViews>
  <sheets>
    <sheet name="3 Statement Model" sheetId="1" r:id="rId1"/>
    <sheet name="DCF Valuation" sheetId="2" r:id="rId2"/>
    <sheet name="WAC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9" i="1" l="1"/>
  <c r="H5" i="2"/>
  <c r="G32" i="2"/>
  <c r="G30" i="2"/>
  <c r="C9" i="3"/>
  <c r="C12" i="3"/>
  <c r="F39" i="1"/>
  <c r="C15" i="3" s="1"/>
  <c r="C17" i="3"/>
  <c r="D14" i="2"/>
  <c r="E14" i="2" s="1"/>
  <c r="F14" i="2" s="1"/>
  <c r="G14" i="2" s="1"/>
  <c r="D8" i="1"/>
  <c r="E8" i="1"/>
  <c r="F8" i="1" s="1"/>
  <c r="G8" i="1" s="1"/>
  <c r="H8" i="1" s="1"/>
  <c r="I8" i="1" s="1"/>
  <c r="J8" i="1" s="1"/>
  <c r="F83" i="1"/>
  <c r="C19" i="2"/>
  <c r="F111" i="1"/>
  <c r="G102" i="1"/>
  <c r="G108" i="1" s="1"/>
  <c r="H102" i="1"/>
  <c r="H108" i="1" s="1"/>
  <c r="I102" i="1"/>
  <c r="I108" i="1" s="1"/>
  <c r="J102" i="1"/>
  <c r="J108" i="1" s="1"/>
  <c r="F102" i="1"/>
  <c r="F108" i="1" s="1"/>
  <c r="G83" i="1"/>
  <c r="H83" i="1"/>
  <c r="I83" i="1"/>
  <c r="J83" i="1"/>
  <c r="E111" i="1"/>
  <c r="F80" i="1"/>
  <c r="G80" i="1" s="1"/>
  <c r="H80" i="1" s="1"/>
  <c r="I80" i="1" s="1"/>
  <c r="J80" i="1" s="1"/>
  <c r="D108" i="1"/>
  <c r="E108" i="1"/>
  <c r="C108" i="1"/>
  <c r="D97" i="1"/>
  <c r="E97" i="1"/>
  <c r="C97" i="1"/>
  <c r="D88" i="1"/>
  <c r="E88" i="1"/>
  <c r="C88" i="1"/>
  <c r="F64" i="1"/>
  <c r="G64" i="1"/>
  <c r="H64" i="1"/>
  <c r="I64" i="1"/>
  <c r="J64" i="1"/>
  <c r="E70" i="1"/>
  <c r="D70" i="1"/>
  <c r="E64" i="1"/>
  <c r="D64" i="1"/>
  <c r="E61" i="1"/>
  <c r="D61" i="1"/>
  <c r="E53" i="1"/>
  <c r="D53" i="1"/>
  <c r="E49" i="1"/>
  <c r="D49" i="1"/>
  <c r="F9" i="1"/>
  <c r="F12" i="1" s="1"/>
  <c r="D24" i="1"/>
  <c r="E24" i="1"/>
  <c r="C24" i="1"/>
  <c r="D23" i="1"/>
  <c r="E23" i="1"/>
  <c r="C23" i="1"/>
  <c r="E21" i="1"/>
  <c r="D21" i="1"/>
  <c r="D11" i="1"/>
  <c r="D14" i="1" s="1"/>
  <c r="D17" i="1" s="1"/>
  <c r="E11" i="1"/>
  <c r="E14" i="1" s="1"/>
  <c r="E17" i="1" s="1"/>
  <c r="C11" i="1"/>
  <c r="C22" i="1" s="1"/>
  <c r="G39" i="1" l="1"/>
  <c r="H39" i="1" s="1"/>
  <c r="I39" i="1" s="1"/>
  <c r="J39" i="1" s="1"/>
  <c r="C15" i="2"/>
  <c r="C20" i="2" s="1"/>
  <c r="F95" i="1"/>
  <c r="F51" i="1" s="1"/>
  <c r="G79" i="1" s="1"/>
  <c r="D19" i="2" s="1"/>
  <c r="C22" i="3"/>
  <c r="C16" i="3" s="1"/>
  <c r="C10" i="3"/>
  <c r="C24" i="3" s="1"/>
  <c r="C9" i="2" s="1"/>
  <c r="C110" i="1"/>
  <c r="E110" i="1"/>
  <c r="E112" i="1" s="1"/>
  <c r="G29" i="2" s="1"/>
  <c r="D110" i="1"/>
  <c r="F67" i="1"/>
  <c r="G67" i="1" s="1"/>
  <c r="H67" i="1" s="1"/>
  <c r="I67" i="1" s="1"/>
  <c r="J67" i="1" s="1"/>
  <c r="F45" i="1"/>
  <c r="D65" i="1"/>
  <c r="E65" i="1"/>
  <c r="E72" i="1" s="1"/>
  <c r="D54" i="1"/>
  <c r="D72" i="1" s="1"/>
  <c r="E54" i="1"/>
  <c r="G9" i="1"/>
  <c r="D15" i="2" s="1"/>
  <c r="D20" i="2" s="1"/>
  <c r="F13" i="1"/>
  <c r="C14" i="1"/>
  <c r="C17" i="1" s="1"/>
  <c r="F10" i="1"/>
  <c r="F56" i="1" s="1"/>
  <c r="F86" i="1" s="1"/>
  <c r="E22" i="1"/>
  <c r="D22" i="1"/>
  <c r="C21" i="2" l="1"/>
  <c r="F97" i="1"/>
  <c r="F82" i="1"/>
  <c r="G45" i="1"/>
  <c r="G95" i="1"/>
  <c r="F61" i="1"/>
  <c r="F65" i="1" s="1"/>
  <c r="F11" i="1"/>
  <c r="F14" i="1" s="1"/>
  <c r="F47" i="1"/>
  <c r="H9" i="1"/>
  <c r="E15" i="2" s="1"/>
  <c r="E20" i="2" s="1"/>
  <c r="G12" i="1"/>
  <c r="G10" i="1"/>
  <c r="G13" i="1"/>
  <c r="C16" i="2" l="1"/>
  <c r="F16" i="1"/>
  <c r="F17" i="1" s="1"/>
  <c r="F68" i="1" s="1"/>
  <c r="G97" i="1"/>
  <c r="G51" i="1"/>
  <c r="G82" i="1"/>
  <c r="F84" i="1"/>
  <c r="G47" i="1"/>
  <c r="G56" i="1"/>
  <c r="H45" i="1"/>
  <c r="H95" i="1"/>
  <c r="H97" i="1" s="1"/>
  <c r="G11" i="1"/>
  <c r="G14" i="1" s="1"/>
  <c r="I9" i="1"/>
  <c r="F15" i="2" s="1"/>
  <c r="F20" i="2" s="1"/>
  <c r="H12" i="1"/>
  <c r="H10" i="1"/>
  <c r="H56" i="1" s="1"/>
  <c r="H13" i="1"/>
  <c r="C17" i="2" l="1"/>
  <c r="C18" i="2" s="1"/>
  <c r="C22" i="2" s="1"/>
  <c r="C23" i="2" s="1"/>
  <c r="D21" i="2"/>
  <c r="G16" i="1"/>
  <c r="G17" i="1" s="1"/>
  <c r="G78" i="1" s="1"/>
  <c r="D16" i="2"/>
  <c r="F78" i="1"/>
  <c r="H82" i="1"/>
  <c r="G86" i="1"/>
  <c r="G61" i="1"/>
  <c r="G65" i="1" s="1"/>
  <c r="H61" i="1"/>
  <c r="H65" i="1" s="1"/>
  <c r="H86" i="1"/>
  <c r="I45" i="1"/>
  <c r="I95" i="1"/>
  <c r="I97" i="1" s="1"/>
  <c r="G84" i="1"/>
  <c r="F70" i="1"/>
  <c r="H11" i="1"/>
  <c r="H14" i="1" s="1"/>
  <c r="H47" i="1"/>
  <c r="E21" i="2" s="1"/>
  <c r="J9" i="1"/>
  <c r="G15" i="2" s="1"/>
  <c r="G20" i="2" s="1"/>
  <c r="I12" i="1"/>
  <c r="I10" i="1"/>
  <c r="I56" i="1" s="1"/>
  <c r="I13" i="1"/>
  <c r="G68" i="1" l="1"/>
  <c r="G70" i="1" s="1"/>
  <c r="H16" i="1"/>
  <c r="H17" i="1" s="1"/>
  <c r="H78" i="1" s="1"/>
  <c r="E16" i="2"/>
  <c r="D17" i="2"/>
  <c r="D18" i="2" s="1"/>
  <c r="D22" i="2" s="1"/>
  <c r="D23" i="2" s="1"/>
  <c r="I82" i="1"/>
  <c r="I61" i="1"/>
  <c r="I65" i="1" s="1"/>
  <c r="I86" i="1"/>
  <c r="J45" i="1"/>
  <c r="J95" i="1"/>
  <c r="J97" i="1" s="1"/>
  <c r="H84" i="1"/>
  <c r="I11" i="1"/>
  <c r="I14" i="1" s="1"/>
  <c r="I47" i="1"/>
  <c r="I84" i="1" s="1"/>
  <c r="J10" i="1"/>
  <c r="J56" i="1" s="1"/>
  <c r="J13" i="1"/>
  <c r="J12" i="1"/>
  <c r="H68" i="1" l="1"/>
  <c r="H70" i="1" s="1"/>
  <c r="J82" i="1"/>
  <c r="E17" i="2"/>
  <c r="E18" i="2" s="1"/>
  <c r="I16" i="1"/>
  <c r="I17" i="1" s="1"/>
  <c r="I78" i="1" s="1"/>
  <c r="F16" i="2"/>
  <c r="F21" i="2"/>
  <c r="J61" i="1"/>
  <c r="J65" i="1" s="1"/>
  <c r="J86" i="1"/>
  <c r="J11" i="1"/>
  <c r="J14" i="1" s="1"/>
  <c r="J47" i="1"/>
  <c r="G21" i="2" s="1"/>
  <c r="J16" i="1" l="1"/>
  <c r="J17" i="1" s="1"/>
  <c r="J78" i="1" s="1"/>
  <c r="G16" i="2"/>
  <c r="I68" i="1"/>
  <c r="F17" i="2"/>
  <c r="F18" i="2" s="1"/>
  <c r="J84" i="1"/>
  <c r="F53" i="1"/>
  <c r="F88" i="1"/>
  <c r="G88" i="1"/>
  <c r="G110" i="1" s="1"/>
  <c r="J68" i="1" l="1"/>
  <c r="J70" i="1" s="1"/>
  <c r="I70" i="1"/>
  <c r="G17" i="2"/>
  <c r="G18" i="2" s="1"/>
  <c r="F110" i="1"/>
  <c r="F112" i="1" s="1"/>
  <c r="F43" i="1" s="1"/>
  <c r="F49" i="1" s="1"/>
  <c r="F54" i="1" s="1"/>
  <c r="F72" i="1" s="1"/>
  <c r="G53" i="1"/>
  <c r="H79" i="1"/>
  <c r="H51" i="1" l="1"/>
  <c r="E19" i="2"/>
  <c r="E22" i="2" s="1"/>
  <c r="E23" i="2" s="1"/>
  <c r="G111" i="1"/>
  <c r="G112" i="1" s="1"/>
  <c r="G43" i="1" s="1"/>
  <c r="G49" i="1" s="1"/>
  <c r="G54" i="1" s="1"/>
  <c r="G72" i="1" s="1"/>
  <c r="H88" i="1"/>
  <c r="H110" i="1" s="1"/>
  <c r="H111" i="1" l="1"/>
  <c r="H112" i="1" s="1"/>
  <c r="H43" i="1" s="1"/>
  <c r="I111" i="1" s="1"/>
  <c r="I79" i="1"/>
  <c r="F19" i="2" s="1"/>
  <c r="F22" i="2" s="1"/>
  <c r="F23" i="2" s="1"/>
  <c r="H53" i="1"/>
  <c r="H49" i="1" l="1"/>
  <c r="H54" i="1" s="1"/>
  <c r="H72" i="1" s="1"/>
  <c r="I88" i="1"/>
  <c r="I110" i="1" s="1"/>
  <c r="I112" i="1" s="1"/>
  <c r="I43" i="1" s="1"/>
  <c r="J111" i="1" s="1"/>
  <c r="I51" i="1"/>
  <c r="I49" i="1" l="1"/>
  <c r="J79" i="1"/>
  <c r="I53" i="1"/>
  <c r="J88" i="1" l="1"/>
  <c r="J110" i="1" s="1"/>
  <c r="J112" i="1" s="1"/>
  <c r="J43" i="1" s="1"/>
  <c r="J49" i="1" s="1"/>
  <c r="G19" i="2"/>
  <c r="G22" i="2" s="1"/>
  <c r="I54" i="1"/>
  <c r="I72" i="1" s="1"/>
  <c r="J51" i="1"/>
  <c r="J53" i="1" s="1"/>
  <c r="J54" i="1" s="1"/>
  <c r="J72" i="1" s="1"/>
  <c r="G26" i="2" l="1"/>
  <c r="G27" i="2" s="1"/>
  <c r="G23" i="2"/>
  <c r="G28" i="2" l="1"/>
  <c r="G31" i="2" s="1"/>
  <c r="G33" i="2" s="1"/>
  <c r="H4" i="2" l="1"/>
  <c r="B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griff</author>
  </authors>
  <commentList>
    <comment ref="F28" authorId="0" shapeId="0" xr:uid="{7D48ADFF-AEC4-4A26-9FD3-AF6FA85C1013}">
      <text>
        <r>
          <rPr>
            <b/>
            <sz val="9"/>
            <color indexed="81"/>
            <rFont val="Tahoma"/>
            <charset val="1"/>
          </rPr>
          <t>griff:
Used to test an upside scenario of Apple continues to expand in AI sector</t>
        </r>
      </text>
    </comment>
    <comment ref="F39" authorId="0" shapeId="0" xr:uid="{1C1B88D5-4EE1-4517-A7CA-2862EC079989}">
      <text>
        <r>
          <rPr>
            <b/>
            <sz val="9"/>
            <color indexed="81"/>
            <rFont val="Tahoma"/>
            <charset val="1"/>
          </rPr>
          <t>griff:</t>
        </r>
        <r>
          <rPr>
            <sz val="9"/>
            <color indexed="81"/>
            <rFont val="Tahoma"/>
            <charset val="1"/>
          </rPr>
          <t xml:space="preserve">
Formula done to show Apple buying back their shares
</t>
        </r>
      </text>
    </comment>
    <comment ref="F44" authorId="0" shapeId="0" xr:uid="{39C2AEA6-4FF0-4771-9CD4-6B769CBF5996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Assumption. Held value across forecast years
</t>
        </r>
      </text>
    </comment>
    <comment ref="F46" authorId="0" shapeId="0" xr:uid="{560331FD-5190-4568-BDDD-421155FA9714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Another assumption. Held constant across forecast years</t>
        </r>
      </text>
    </comment>
    <comment ref="F48" authorId="0" shapeId="0" xr:uid="{C5BE2CEC-2F06-478C-A634-DA3D36CD9163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Held constant as an assumption for forecast years.
</t>
        </r>
      </text>
    </comment>
    <comment ref="F50" authorId="0" shapeId="0" xr:uid="{57F39004-FACB-43F9-B4FE-E1C4C39A5678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Assumption. Held consstant for forecast years</t>
        </r>
      </text>
    </comment>
    <comment ref="F52" authorId="0" shapeId="0" xr:uid="{61052044-FCCE-4FBD-95B2-EFF583D6090F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Assumption. Held constant for forecast years
</t>
        </r>
      </text>
    </comment>
    <comment ref="F57" authorId="0" shapeId="0" xr:uid="{01E8813E-63AB-4CFE-9864-B546D8E7DB3B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Assumption. Held constant for forecast years
</t>
        </r>
      </text>
    </comment>
    <comment ref="F67" authorId="0" shapeId="0" xr:uid="{7FF5E92F-E0C6-45D7-A8D7-4A3B9747E1CD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Assumption. Kept constant for forecasting years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griff</author>
  </authors>
  <commentList>
    <comment ref="B40" authorId="0" shapeId="0" xr:uid="{33BBB7F9-23CE-4545-862C-15387063468E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Share price from the calculation above.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griff</author>
  </authors>
  <commentList>
    <comment ref="C11" authorId="0" shapeId="0" xr:uid="{2A1F6671-C7FC-4980-AAA0-F024D94F6749}">
      <text>
        <r>
          <rPr>
            <b/>
            <sz val="9"/>
            <color indexed="81"/>
            <rFont val="Tahoma"/>
            <family val="2"/>
          </rPr>
          <t>griff:</t>
        </r>
        <r>
          <rPr>
            <sz val="9"/>
            <color indexed="81"/>
            <rFont val="Tahoma"/>
            <family val="2"/>
          </rPr>
          <t xml:space="preserve">
Assumption based on market trends for Apple's outstanding corporate bonds.</t>
        </r>
      </text>
    </comment>
  </commentList>
</comments>
</file>

<file path=xl/sharedStrings.xml><?xml version="1.0" encoding="utf-8"?>
<sst xmlns="http://schemas.openxmlformats.org/spreadsheetml/2006/main" count="149" uniqueCount="123">
  <si>
    <t>Apple INC</t>
  </si>
  <si>
    <t>APPL</t>
  </si>
  <si>
    <t>$ In millions</t>
  </si>
  <si>
    <t>3 Statement Financial Summary</t>
  </si>
  <si>
    <t>Income Statement</t>
  </si>
  <si>
    <t>COGS</t>
  </si>
  <si>
    <t>Gross Profit</t>
  </si>
  <si>
    <t>R&amp;D</t>
  </si>
  <si>
    <t>SG&amp;A</t>
  </si>
  <si>
    <t>Operating Income</t>
  </si>
  <si>
    <t>Net Sales (Revenue)</t>
  </si>
  <si>
    <t>Other Income/Expense, Net</t>
  </si>
  <si>
    <t>Provision for Income Taxes</t>
  </si>
  <si>
    <t>Net Income</t>
  </si>
  <si>
    <t>Revenue Growth %</t>
  </si>
  <si>
    <t>Gross Margin %</t>
  </si>
  <si>
    <t>R&amp;D as a % of Revenue</t>
  </si>
  <si>
    <t>SG&amp;A as a % of Revenue</t>
  </si>
  <si>
    <t>x</t>
  </si>
  <si>
    <t>Growth Assumptions</t>
  </si>
  <si>
    <t>Tax Rate</t>
  </si>
  <si>
    <t>Balance Sheet</t>
  </si>
  <si>
    <t>Cash and Equivalents</t>
  </si>
  <si>
    <t>Marketable Securities</t>
  </si>
  <si>
    <t>Accounts Receivable</t>
  </si>
  <si>
    <t>Vendor Non-trade Receivables</t>
  </si>
  <si>
    <t>Inventories</t>
  </si>
  <si>
    <t>Other Current Assets</t>
  </si>
  <si>
    <t>Total Current Assets</t>
  </si>
  <si>
    <t>PP&amp;E</t>
  </si>
  <si>
    <t>Other Non-current assets</t>
  </si>
  <si>
    <t>Total Assets</t>
  </si>
  <si>
    <t>Accounts Payable</t>
  </si>
  <si>
    <t>Other Current Liabilities</t>
  </si>
  <si>
    <t>Deferred Revenue</t>
  </si>
  <si>
    <t>Commercial Paper</t>
  </si>
  <si>
    <t>Term Debt</t>
  </si>
  <si>
    <t>Total Current Liabilities</t>
  </si>
  <si>
    <t>Total Non-current assets</t>
  </si>
  <si>
    <t>Other Non-current Liabilities</t>
  </si>
  <si>
    <t>Total Non-Current liabilities</t>
  </si>
  <si>
    <t>Total Liabilities</t>
  </si>
  <si>
    <t>Common Stock and APIC</t>
  </si>
  <si>
    <t>Accumulated deficit</t>
  </si>
  <si>
    <t>Accumulated other loss</t>
  </si>
  <si>
    <t>Total Shareholders Equity</t>
  </si>
  <si>
    <t>Balance?</t>
  </si>
  <si>
    <t>Days Sales Outstanding</t>
  </si>
  <si>
    <t>Days Payable Outstanding</t>
  </si>
  <si>
    <t>CAPEX</t>
  </si>
  <si>
    <t>Cash Dividends</t>
  </si>
  <si>
    <t>Days Inventory Outstanding</t>
  </si>
  <si>
    <t>Depreciation as a %</t>
  </si>
  <si>
    <t>Statement of Cash Flows</t>
  </si>
  <si>
    <t>Operating Activities</t>
  </si>
  <si>
    <t>Net income</t>
  </si>
  <si>
    <t>D&amp;A</t>
  </si>
  <si>
    <t>Share-based Compensation</t>
  </si>
  <si>
    <t>Other</t>
  </si>
  <si>
    <t>Accounts Receivable, net</t>
  </si>
  <si>
    <t>Vendor non-trade receivable</t>
  </si>
  <si>
    <t>Other current and non-current assets</t>
  </si>
  <si>
    <t>Other Current and non-current liabilities</t>
  </si>
  <si>
    <t>Cash Generated by operating activities</t>
  </si>
  <si>
    <t>Investing Activities</t>
  </si>
  <si>
    <t>Purchases or Marketable Securities</t>
  </si>
  <si>
    <t>Proceeds from maturities of marketable securities</t>
  </si>
  <si>
    <t>Proceeds from sales of marketable securities</t>
  </si>
  <si>
    <t>Payments for acq. Of PP&amp;E</t>
  </si>
  <si>
    <t>Cash Generated by investing activities</t>
  </si>
  <si>
    <t>Finance Activities</t>
  </si>
  <si>
    <t>Payments for taxes related to net settlement of equity</t>
  </si>
  <si>
    <t>Payments for dividends</t>
  </si>
  <si>
    <t>Repurchases of common stock</t>
  </si>
  <si>
    <t>Proceeds from issuance of term debt</t>
  </si>
  <si>
    <t>Repayments of term debt</t>
  </si>
  <si>
    <t>Proceeds from commercial paper</t>
  </si>
  <si>
    <t>Cash used in financing activities</t>
  </si>
  <si>
    <t>Net Change in Cash</t>
  </si>
  <si>
    <t>Beginning Cash</t>
  </si>
  <si>
    <t>Ending Cash</t>
  </si>
  <si>
    <t>Historical Drivers</t>
  </si>
  <si>
    <t>AAPL</t>
  </si>
  <si>
    <t>DCF Valuation</t>
  </si>
  <si>
    <t>$ in millions</t>
  </si>
  <si>
    <t>Revenue</t>
  </si>
  <si>
    <t>EBIT</t>
  </si>
  <si>
    <t>Taxes</t>
  </si>
  <si>
    <t>NOPAT</t>
  </si>
  <si>
    <t>Change in NWC</t>
  </si>
  <si>
    <t>UFCF</t>
  </si>
  <si>
    <t>WACC</t>
  </si>
  <si>
    <t>Assumptions</t>
  </si>
  <si>
    <t>% of OPEX</t>
  </si>
  <si>
    <t>WACC = (% of Equity * Cost of Equity)+ (% of Debt * Cost of Debt*(1 - tax rate))</t>
  </si>
  <si>
    <t>Cost of Equity = Risk Free Rate * beta( expected return - Risk Free Rate)</t>
  </si>
  <si>
    <t>Debt</t>
  </si>
  <si>
    <t>% Debt</t>
  </si>
  <si>
    <t>Cost of Debt</t>
  </si>
  <si>
    <t>Equity Value</t>
  </si>
  <si>
    <t>% Equity</t>
  </si>
  <si>
    <t>Cost of Equity</t>
  </si>
  <si>
    <t>Risk Free Rate</t>
  </si>
  <si>
    <t>Beta</t>
  </si>
  <si>
    <t>Market Risk Premium</t>
  </si>
  <si>
    <t>Debt + Equity</t>
  </si>
  <si>
    <t>Current Apple stock (9/4/26)</t>
  </si>
  <si>
    <t>Diluted Shares Outstanding</t>
  </si>
  <si>
    <t>Present Value of FCF</t>
  </si>
  <si>
    <t>Terminal Value</t>
  </si>
  <si>
    <t>Present Value of Terminal Value</t>
  </si>
  <si>
    <t>Enterprise Value</t>
  </si>
  <si>
    <t>Cash</t>
  </si>
  <si>
    <t>Shares</t>
  </si>
  <si>
    <t>Share Price</t>
  </si>
  <si>
    <t>Terminal Growth Rate</t>
  </si>
  <si>
    <t>Apple DCF</t>
  </si>
  <si>
    <t>DCF</t>
  </si>
  <si>
    <t>Date:</t>
  </si>
  <si>
    <t>Ticker:</t>
  </si>
  <si>
    <t>Implied Share Price</t>
  </si>
  <si>
    <t>Today's Share price</t>
  </si>
  <si>
    <t>Sensitivity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</si>
</sst>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8" formatCode="&quot;$&quot;#,##0.00_);[Red]\(&quot;$&quot;#,##0.00\)"/>
    <numFmt numFmtId="164" formatCode="0&quot;A&quot;"/>
    <numFmt numFmtId="165" formatCode="0&quot;F&quot;"/>
    <numFmt numFmtId="166" formatCode="#,##0.0_);\(#,##0.0\)"/>
    <numFmt numFmtId="167" formatCode="0.0%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166" fontId="0" fillId="0" borderId="0" xfId="0" applyNumberFormat="1"/>
    <xf numFmtId="166" fontId="1" fillId="0" borderId="0" xfId="0" applyNumberFormat="1" applyFont="1"/>
    <xf numFmtId="166" fontId="3" fillId="0" borderId="0" xfId="0" applyNumberFormat="1" applyFont="1"/>
    <xf numFmtId="0" fontId="4" fillId="0" borderId="0" xfId="0" applyFont="1"/>
    <xf numFmtId="9" fontId="0" fillId="0" borderId="0" xfId="0" applyNumberFormat="1"/>
    <xf numFmtId="167" fontId="0" fillId="0" borderId="0" xfId="0" applyNumberForma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1" xfId="0" applyFont="1" applyBorder="1"/>
    <xf numFmtId="166" fontId="1" fillId="0" borderId="1" xfId="0" applyNumberFormat="1" applyFont="1" applyBorder="1"/>
    <xf numFmtId="167" fontId="0" fillId="2" borderId="0" xfId="0" applyNumberFormat="1" applyFill="1"/>
    <xf numFmtId="167" fontId="3" fillId="2" borderId="0" xfId="0" applyNumberFormat="1" applyFont="1" applyFill="1"/>
    <xf numFmtId="166" fontId="3" fillId="2" borderId="0" xfId="0" applyNumberFormat="1" applyFont="1" applyFill="1"/>
    <xf numFmtId="9" fontId="3" fillId="2" borderId="0" xfId="0" applyNumberFormat="1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2" xfId="0" applyBorder="1"/>
    <xf numFmtId="0" fontId="9" fillId="0" borderId="2" xfId="0" applyFont="1" applyBorder="1" applyAlignment="1">
      <alignment horizontal="centerContinuous"/>
    </xf>
    <xf numFmtId="10" fontId="0" fillId="0" borderId="0" xfId="0" applyNumberFormat="1"/>
    <xf numFmtId="0" fontId="3" fillId="2" borderId="0" xfId="0" applyFont="1" applyFill="1"/>
    <xf numFmtId="0" fontId="3" fillId="0" borderId="0" xfId="0" applyFont="1"/>
    <xf numFmtId="166" fontId="0" fillId="2" borderId="0" xfId="0" applyNumberFormat="1" applyFill="1"/>
    <xf numFmtId="8" fontId="3" fillId="2" borderId="0" xfId="0" applyNumberFormat="1" applyFont="1" applyFill="1"/>
    <xf numFmtId="10" fontId="3" fillId="2" borderId="0" xfId="0" applyNumberFormat="1" applyFont="1" applyFill="1"/>
    <xf numFmtId="0" fontId="1" fillId="0" borderId="4" xfId="0" applyFont="1" applyBorder="1"/>
    <xf numFmtId="0" fontId="1" fillId="0" borderId="3" xfId="0" applyFont="1" applyBorder="1"/>
    <xf numFmtId="166" fontId="1" fillId="0" borderId="5" xfId="0" applyNumberFormat="1" applyFont="1" applyBorder="1"/>
    <xf numFmtId="166" fontId="1" fillId="0" borderId="6" xfId="0" applyNumberFormat="1" applyFont="1" applyBorder="1"/>
    <xf numFmtId="166" fontId="1" fillId="0" borderId="7" xfId="0" applyNumberFormat="1" applyFont="1" applyBorder="1"/>
    <xf numFmtId="0" fontId="1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1" fillId="0" borderId="6" xfId="0" applyFont="1" applyBorder="1"/>
    <xf numFmtId="167" fontId="1" fillId="0" borderId="5" xfId="0" applyNumberFormat="1" applyFont="1" applyBorder="1"/>
    <xf numFmtId="167" fontId="3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0" fontId="11" fillId="3" borderId="0" xfId="0" applyFont="1" applyFill="1" applyAlignment="1">
      <alignment horizontal="centerContinuous"/>
    </xf>
    <xf numFmtId="0" fontId="11" fillId="3" borderId="0" xfId="0" applyFont="1" applyFill="1" applyAlignment="1">
      <alignment horizontal="left"/>
    </xf>
    <xf numFmtId="166" fontId="0" fillId="0" borderId="2" xfId="0" applyNumberFormat="1" applyBorder="1"/>
    <xf numFmtId="14" fontId="0" fillId="2" borderId="0" xfId="0" applyNumberForma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8" fontId="0" fillId="2" borderId="0" xfId="0" applyNumberFormat="1" applyFill="1"/>
    <xf numFmtId="0" fontId="13" fillId="3" borderId="0" xfId="0" applyFont="1" applyFill="1" applyAlignment="1">
      <alignment horizontal="centerContinuous"/>
    </xf>
    <xf numFmtId="166" fontId="12" fillId="3" borderId="0" xfId="0" applyNumberFormat="1" applyFont="1" applyFill="1"/>
    <xf numFmtId="0" fontId="13" fillId="3" borderId="0" xfId="0" applyFont="1" applyFill="1" applyAlignment="1">
      <alignment horizontal="centerContinuous" vertical="center"/>
    </xf>
    <xf numFmtId="166" fontId="16" fillId="0" borderId="0" xfId="0" applyNumberFormat="1" applyFont="1"/>
    <xf numFmtId="166" fontId="16" fillId="0" borderId="2" xfId="0" applyNumberFormat="1" applyFont="1" applyBorder="1"/>
    <xf numFmtId="0" fontId="16" fillId="0" borderId="0" xfId="0" applyFont="1"/>
    <xf numFmtId="167" fontId="16" fillId="2" borderId="0" xfId="0" applyNumberFormat="1" applyFont="1" applyFill="1"/>
    <xf numFmtId="0" fontId="0" fillId="3" borderId="0" xfId="0" applyFill="1"/>
    <xf numFmtId="0" fontId="0" fillId="2" borderId="0" xfId="0" applyFill="1" applyAlignment="1">
      <alignment horizontal="centerContinuous"/>
    </xf>
    <xf numFmtId="8" fontId="1" fillId="0" borderId="0" xfId="0" applyNumberFormat="1" applyFont="1"/>
    <xf numFmtId="7" fontId="1" fillId="0" borderId="8" xfId="0" applyNumberFormat="1" applyFont="1" applyBorder="1"/>
    <xf numFmtId="7" fontId="1" fillId="0" borderId="1" xfId="0" applyNumberFormat="1" applyFont="1" applyBorder="1"/>
    <xf numFmtId="7" fontId="1" fillId="0" borderId="9" xfId="0" applyNumberFormat="1" applyFont="1" applyBorder="1"/>
    <xf numFmtId="7" fontId="1" fillId="0" borderId="10" xfId="0" applyNumberFormat="1" applyFont="1" applyBorder="1"/>
    <xf numFmtId="7" fontId="1" fillId="0" borderId="0" xfId="0" applyNumberFormat="1" applyFont="1"/>
    <xf numFmtId="7" fontId="1" fillId="0" borderId="11" xfId="0" applyNumberFormat="1" applyFont="1" applyBorder="1"/>
    <xf numFmtId="7" fontId="1" fillId="0" borderId="12" xfId="0" applyNumberFormat="1" applyFont="1" applyBorder="1"/>
    <xf numFmtId="7" fontId="1" fillId="0" borderId="2" xfId="0" applyNumberFormat="1" applyFont="1" applyBorder="1"/>
    <xf numFmtId="7" fontId="1" fillId="0" borderId="1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61E8-A2BD-4954-BED4-C13E1551FC14}">
  <dimension ref="A1:J112"/>
  <sheetViews>
    <sheetView showGridLines="0" tabSelected="1" zoomScale="108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4.4" x14ac:dyDescent="0.3"/>
  <cols>
    <col min="1" max="1" width="10.21875" customWidth="1"/>
    <col min="2" max="2" width="43.33203125" customWidth="1"/>
    <col min="3" max="5" width="10.44140625" bestFit="1" customWidth="1"/>
    <col min="6" max="10" width="11.109375" bestFit="1" customWidth="1"/>
  </cols>
  <sheetData>
    <row r="1" spans="1:10" x14ac:dyDescent="0.3">
      <c r="A1" t="s">
        <v>2</v>
      </c>
    </row>
    <row r="2" spans="1:10" ht="33" x14ac:dyDescent="0.65">
      <c r="B2" s="8" t="s">
        <v>0</v>
      </c>
    </row>
    <row r="3" spans="1:10" ht="25.8" x14ac:dyDescent="0.5">
      <c r="B3" s="9" t="s">
        <v>1</v>
      </c>
    </row>
    <row r="4" spans="1:10" x14ac:dyDescent="0.3">
      <c r="B4" t="s">
        <v>3</v>
      </c>
    </row>
    <row r="7" spans="1:10" ht="13.8" customHeight="1" x14ac:dyDescent="0.3"/>
    <row r="8" spans="1:10" ht="16.05" customHeight="1" x14ac:dyDescent="0.3">
      <c r="B8" s="39" t="s">
        <v>4</v>
      </c>
      <c r="C8" s="43">
        <v>2023</v>
      </c>
      <c r="D8" s="43">
        <f>C8+1</f>
        <v>2024</v>
      </c>
      <c r="E8" s="43">
        <f t="shared" ref="E8:J8" si="0">D8+1</f>
        <v>2025</v>
      </c>
      <c r="F8" s="44">
        <f>E8+1</f>
        <v>2026</v>
      </c>
      <c r="G8" s="44">
        <f t="shared" si="0"/>
        <v>2027</v>
      </c>
      <c r="H8" s="44">
        <f t="shared" si="0"/>
        <v>2028</v>
      </c>
      <c r="I8" s="44">
        <f t="shared" si="0"/>
        <v>2029</v>
      </c>
      <c r="J8" s="44">
        <f t="shared" si="0"/>
        <v>2030</v>
      </c>
    </row>
    <row r="9" spans="1:10" x14ac:dyDescent="0.3">
      <c r="A9" t="s">
        <v>18</v>
      </c>
      <c r="B9" t="s">
        <v>10</v>
      </c>
      <c r="C9" s="4">
        <v>383285</v>
      </c>
      <c r="D9" s="4">
        <v>391035</v>
      </c>
      <c r="E9" s="4">
        <v>416161</v>
      </c>
      <c r="F9" s="2">
        <f>E9*(1+F28)</f>
        <v>449453.88</v>
      </c>
      <c r="G9" s="2">
        <f>F9*(1+G28)</f>
        <v>485410.19040000002</v>
      </c>
      <c r="H9" s="2">
        <f>G9*(1+H28)</f>
        <v>524243.00563200004</v>
      </c>
      <c r="I9" s="2">
        <f>H9*(1+I28)</f>
        <v>566182.44608256011</v>
      </c>
      <c r="J9" s="2">
        <f>I9*(1+J28)</f>
        <v>611477.04176916496</v>
      </c>
    </row>
    <row r="10" spans="1:10" x14ac:dyDescent="0.3">
      <c r="B10" t="s">
        <v>5</v>
      </c>
      <c r="C10" s="4">
        <v>-214137</v>
      </c>
      <c r="D10" s="4">
        <v>-210352</v>
      </c>
      <c r="E10" s="4">
        <v>-220960</v>
      </c>
      <c r="F10" s="2">
        <f>-F9*(1-F29)</f>
        <v>-240457.82579999996</v>
      </c>
      <c r="G10" s="2">
        <f>-G9*(1-G29)</f>
        <v>-259694.45186399997</v>
      </c>
      <c r="H10" s="2">
        <f>-H9*(1-H29)</f>
        <v>-280470.00801311998</v>
      </c>
      <c r="I10" s="2">
        <f>-I9*(1-I29)</f>
        <v>-302907.6086541696</v>
      </c>
      <c r="J10" s="2">
        <f>-J9*(1-J29)</f>
        <v>-327140.21734650322</v>
      </c>
    </row>
    <row r="11" spans="1:10" x14ac:dyDescent="0.3">
      <c r="B11" s="1" t="s">
        <v>6</v>
      </c>
      <c r="C11" s="3">
        <f>C9+C10</f>
        <v>169148</v>
      </c>
      <c r="D11" s="3">
        <f t="shared" ref="D11:E11" si="1">D9+D10</f>
        <v>180683</v>
      </c>
      <c r="E11" s="3">
        <f t="shared" si="1"/>
        <v>195201</v>
      </c>
      <c r="F11" s="3">
        <f t="shared" ref="F11" si="2">F9+F10</f>
        <v>208996.05420000004</v>
      </c>
      <c r="G11" s="3">
        <f t="shared" ref="G11" si="3">G9+G10</f>
        <v>225715.73853600005</v>
      </c>
      <c r="H11" s="3">
        <f t="shared" ref="H11" si="4">H9+H10</f>
        <v>243772.99761888006</v>
      </c>
      <c r="I11" s="3">
        <f t="shared" ref="I11" si="5">I9+I10</f>
        <v>263274.83742839051</v>
      </c>
      <c r="J11" s="3">
        <f t="shared" ref="J11" si="6">J9+J10</f>
        <v>284336.82442266174</v>
      </c>
    </row>
    <row r="12" spans="1:10" x14ac:dyDescent="0.3">
      <c r="B12" t="s">
        <v>7</v>
      </c>
      <c r="C12" s="4">
        <v>-29915</v>
      </c>
      <c r="D12" s="4">
        <v>-31370</v>
      </c>
      <c r="E12" s="4">
        <v>-34550</v>
      </c>
      <c r="F12" s="2">
        <f>-F9*F30</f>
        <v>-35956.310400000002</v>
      </c>
      <c r="G12" s="2">
        <f>-G9*G30</f>
        <v>-38832.815232000001</v>
      </c>
      <c r="H12" s="2">
        <f>-H9*H30</f>
        <v>-41939.440450560003</v>
      </c>
      <c r="I12" s="2">
        <f>-I9*I30</f>
        <v>-45294.595686604807</v>
      </c>
      <c r="J12" s="2">
        <f>-J9*J30</f>
        <v>-48918.163341533196</v>
      </c>
    </row>
    <row r="13" spans="1:10" x14ac:dyDescent="0.3">
      <c r="B13" t="s">
        <v>8</v>
      </c>
      <c r="C13" s="4">
        <v>-24392</v>
      </c>
      <c r="D13" s="4">
        <v>-26097</v>
      </c>
      <c r="E13" s="4">
        <v>-27601</v>
      </c>
      <c r="F13" s="2">
        <f>-F9*F31</f>
        <v>-29214.502200000003</v>
      </c>
      <c r="G13" s="2">
        <f>-G9*G31</f>
        <v>-31551.662376000004</v>
      </c>
      <c r="H13" s="2">
        <f>-H9*H31</f>
        <v>-34075.795366080005</v>
      </c>
      <c r="I13" s="2">
        <f>-I9*I31</f>
        <v>-36801.858995366405</v>
      </c>
      <c r="J13" s="2">
        <f>-J9*J31</f>
        <v>-39746.007714995721</v>
      </c>
    </row>
    <row r="14" spans="1:10" x14ac:dyDescent="0.3">
      <c r="B14" s="1" t="s">
        <v>9</v>
      </c>
      <c r="C14" s="3">
        <f>C11+C12+C13</f>
        <v>114841</v>
      </c>
      <c r="D14" s="3">
        <f t="shared" ref="D14:E14" si="7">D11+D12+D13</f>
        <v>123216</v>
      </c>
      <c r="E14" s="3">
        <f t="shared" si="7"/>
        <v>133050</v>
      </c>
      <c r="F14" s="3">
        <f t="shared" ref="F14" si="8">F11+F12+F13</f>
        <v>143825.24160000007</v>
      </c>
      <c r="G14" s="3">
        <f t="shared" ref="G14" si="9">G11+G12+G13</f>
        <v>155331.26092800006</v>
      </c>
      <c r="H14" s="3">
        <f t="shared" ref="H14" si="10">H11+H12+H13</f>
        <v>167757.76180224004</v>
      </c>
      <c r="I14" s="3">
        <f t="shared" ref="I14" si="11">I11+I12+I13</f>
        <v>181178.38274641932</v>
      </c>
      <c r="J14" s="3">
        <f t="shared" ref="J14" si="12">J11+J12+J13</f>
        <v>195672.65336613281</v>
      </c>
    </row>
    <row r="15" spans="1:10" x14ac:dyDescent="0.3">
      <c r="B15" t="s">
        <v>11</v>
      </c>
      <c r="C15" s="4">
        <v>-565</v>
      </c>
      <c r="D15" s="4">
        <v>269</v>
      </c>
      <c r="E15" s="4">
        <v>-321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0" x14ac:dyDescent="0.3">
      <c r="B16" t="s">
        <v>12</v>
      </c>
      <c r="C16" s="4">
        <v>-16741</v>
      </c>
      <c r="D16" s="4">
        <v>-29749</v>
      </c>
      <c r="E16" s="4">
        <v>-20719</v>
      </c>
      <c r="F16" s="2">
        <f>-F14*F32</f>
        <v>-22292.91244800001</v>
      </c>
      <c r="G16" s="2">
        <f>-G14*G32</f>
        <v>-24076.345443840008</v>
      </c>
      <c r="H16" s="2">
        <f>-H14*H32</f>
        <v>-26002.453079347208</v>
      </c>
      <c r="I16" s="2">
        <f>-I14*I32</f>
        <v>-28082.649325694994</v>
      </c>
      <c r="J16" s="2">
        <f>-J14*J32</f>
        <v>-30329.261271750587</v>
      </c>
    </row>
    <row r="17" spans="1:10" x14ac:dyDescent="0.3">
      <c r="B17" s="10" t="s">
        <v>13</v>
      </c>
      <c r="C17" s="11">
        <f>C14+C15+C16</f>
        <v>97535</v>
      </c>
      <c r="D17" s="11">
        <f t="shared" ref="D17:E17" si="13">D14+D15+D16</f>
        <v>93736</v>
      </c>
      <c r="E17" s="11">
        <f t="shared" si="13"/>
        <v>112010</v>
      </c>
      <c r="F17" s="11">
        <f t="shared" ref="F17" si="14">F14+F15+F16</f>
        <v>121532.32915200005</v>
      </c>
      <c r="G17" s="11">
        <f t="shared" ref="G17" si="15">G14+G15+G16</f>
        <v>131254.91548416007</v>
      </c>
      <c r="H17" s="11">
        <f t="shared" ref="H17" si="16">H14+H15+H16</f>
        <v>141755.30872289283</v>
      </c>
      <c r="I17" s="11">
        <f t="shared" ref="I17" si="17">I14+I15+I16</f>
        <v>153095.73342072431</v>
      </c>
      <c r="J17" s="11">
        <f t="shared" ref="J17" si="18">J14+J15+J16</f>
        <v>165343.39209438223</v>
      </c>
    </row>
    <row r="19" spans="1:10" x14ac:dyDescent="0.3">
      <c r="B19" s="48" t="s">
        <v>81</v>
      </c>
      <c r="C19" s="38"/>
      <c r="D19" s="38"/>
      <c r="E19" s="38"/>
      <c r="F19" s="38"/>
      <c r="G19" s="38"/>
      <c r="H19" s="38"/>
      <c r="I19" s="38"/>
      <c r="J19" s="38"/>
    </row>
    <row r="20" spans="1:10" x14ac:dyDescent="0.3">
      <c r="B20" s="5"/>
    </row>
    <row r="21" spans="1:10" x14ac:dyDescent="0.3">
      <c r="B21" s="5" t="s">
        <v>14</v>
      </c>
      <c r="C21" s="12"/>
      <c r="D21" s="12">
        <f>D9/C9 -1</f>
        <v>2.021994077514111E-2</v>
      </c>
      <c r="E21" s="12">
        <f>E9/D9 -1</f>
        <v>6.425511782832749E-2</v>
      </c>
    </row>
    <row r="22" spans="1:10" x14ac:dyDescent="0.3">
      <c r="B22" s="5" t="s">
        <v>15</v>
      </c>
      <c r="C22" s="12">
        <f>(C11/C9)</f>
        <v>0.44131129577207562</v>
      </c>
      <c r="D22" s="12">
        <f>(D11/D9)</f>
        <v>0.46206349815233932</v>
      </c>
      <c r="E22" s="12">
        <f>(E11/E9)</f>
        <v>0.46905164107160452</v>
      </c>
    </row>
    <row r="23" spans="1:10" x14ac:dyDescent="0.3">
      <c r="B23" s="5" t="s">
        <v>16</v>
      </c>
      <c r="C23" s="12">
        <f>-(C12/C9)</f>
        <v>7.8048971392045086E-2</v>
      </c>
      <c r="D23" s="12">
        <f>-(D12/D9)</f>
        <v>8.0222997941360744E-2</v>
      </c>
      <c r="E23" s="12">
        <f>-(E12/E9)</f>
        <v>8.3020753987038676E-2</v>
      </c>
      <c r="F23" s="6"/>
      <c r="G23" s="6"/>
      <c r="H23" s="6"/>
      <c r="I23" s="6"/>
      <c r="J23" s="6"/>
    </row>
    <row r="24" spans="1:10" x14ac:dyDescent="0.3">
      <c r="B24" s="5" t="s">
        <v>17</v>
      </c>
      <c r="C24" s="12">
        <f>-(C13/C9)</f>
        <v>6.3639328437063797E-2</v>
      </c>
      <c r="D24" s="12">
        <f>-(D13/D9)</f>
        <v>6.6738271510222866E-2</v>
      </c>
      <c r="E24" s="12">
        <f>-(E13/E9)</f>
        <v>6.6322889458647019E-2</v>
      </c>
    </row>
    <row r="26" spans="1:10" x14ac:dyDescent="0.3">
      <c r="A26" t="s">
        <v>18</v>
      </c>
    </row>
    <row r="27" spans="1:10" x14ac:dyDescent="0.3">
      <c r="B27" s="46" t="s">
        <v>19</v>
      </c>
      <c r="C27" s="38"/>
      <c r="D27" s="38"/>
      <c r="E27" s="38"/>
      <c r="F27" s="38"/>
      <c r="G27" s="38"/>
      <c r="H27" s="38"/>
      <c r="I27" s="38"/>
      <c r="J27" s="38"/>
    </row>
    <row r="28" spans="1:10" x14ac:dyDescent="0.3">
      <c r="B28" s="5" t="s">
        <v>14</v>
      </c>
      <c r="F28" s="13">
        <v>0.08</v>
      </c>
      <c r="G28" s="13">
        <v>0.08</v>
      </c>
      <c r="H28" s="13">
        <v>0.08</v>
      </c>
      <c r="I28" s="13">
        <v>0.08</v>
      </c>
      <c r="J28" s="13">
        <v>0.08</v>
      </c>
    </row>
    <row r="29" spans="1:10" x14ac:dyDescent="0.3">
      <c r="B29" s="5" t="s">
        <v>15</v>
      </c>
      <c r="F29" s="13">
        <v>0.46500000000000002</v>
      </c>
      <c r="G29" s="13">
        <v>0.46500000000000002</v>
      </c>
      <c r="H29" s="13">
        <v>0.46500000000000002</v>
      </c>
      <c r="I29" s="13">
        <v>0.46500000000000002</v>
      </c>
      <c r="J29" s="13">
        <v>0.46500000000000002</v>
      </c>
    </row>
    <row r="30" spans="1:10" x14ac:dyDescent="0.3">
      <c r="B30" s="5" t="s">
        <v>16</v>
      </c>
      <c r="F30" s="13">
        <v>0.08</v>
      </c>
      <c r="G30" s="13">
        <v>0.08</v>
      </c>
      <c r="H30" s="13">
        <v>0.08</v>
      </c>
      <c r="I30" s="13">
        <v>0.08</v>
      </c>
      <c r="J30" s="13">
        <v>0.08</v>
      </c>
    </row>
    <row r="31" spans="1:10" x14ac:dyDescent="0.3">
      <c r="B31" s="5" t="s">
        <v>17</v>
      </c>
      <c r="F31" s="13">
        <v>6.5000000000000002E-2</v>
      </c>
      <c r="G31" s="13">
        <v>6.5000000000000002E-2</v>
      </c>
      <c r="H31" s="13">
        <v>6.5000000000000002E-2</v>
      </c>
      <c r="I31" s="13">
        <v>6.5000000000000002E-2</v>
      </c>
      <c r="J31" s="13">
        <v>6.5000000000000002E-2</v>
      </c>
    </row>
    <row r="32" spans="1:10" x14ac:dyDescent="0.3">
      <c r="B32" s="5" t="s">
        <v>20</v>
      </c>
      <c r="F32" s="13">
        <v>0.155</v>
      </c>
      <c r="G32" s="13">
        <v>0.155</v>
      </c>
      <c r="H32" s="13">
        <v>0.155</v>
      </c>
      <c r="I32" s="13">
        <v>0.155</v>
      </c>
      <c r="J32" s="13">
        <v>0.155</v>
      </c>
    </row>
    <row r="33" spans="1:10" x14ac:dyDescent="0.3">
      <c r="B33" s="5" t="s">
        <v>47</v>
      </c>
      <c r="F33" s="14">
        <v>30</v>
      </c>
      <c r="G33" s="14">
        <v>30</v>
      </c>
      <c r="H33" s="14">
        <v>30</v>
      </c>
      <c r="I33" s="14">
        <v>30</v>
      </c>
      <c r="J33" s="14">
        <v>30</v>
      </c>
    </row>
    <row r="34" spans="1:10" x14ac:dyDescent="0.3">
      <c r="B34" s="5" t="s">
        <v>51</v>
      </c>
      <c r="F34" s="14">
        <v>11</v>
      </c>
      <c r="G34" s="14">
        <v>11</v>
      </c>
      <c r="H34" s="14">
        <v>11</v>
      </c>
      <c r="I34" s="14">
        <v>11</v>
      </c>
      <c r="J34" s="14">
        <v>11</v>
      </c>
    </row>
    <row r="35" spans="1:10" x14ac:dyDescent="0.3">
      <c r="B35" s="5" t="s">
        <v>48</v>
      </c>
      <c r="F35" s="14">
        <v>105</v>
      </c>
      <c r="G35" s="14">
        <v>105</v>
      </c>
      <c r="H35" s="14">
        <v>105</v>
      </c>
      <c r="I35" s="14">
        <v>105</v>
      </c>
      <c r="J35" s="14">
        <v>105</v>
      </c>
    </row>
    <row r="36" spans="1:10" x14ac:dyDescent="0.3">
      <c r="A36" t="s">
        <v>18</v>
      </c>
      <c r="B36" s="5" t="s">
        <v>49</v>
      </c>
      <c r="F36" s="13">
        <v>0.03</v>
      </c>
      <c r="G36" s="13">
        <v>0.03</v>
      </c>
      <c r="H36" s="13">
        <v>0.03</v>
      </c>
      <c r="I36" s="13">
        <v>0.03</v>
      </c>
      <c r="J36" s="13">
        <v>0.03</v>
      </c>
    </row>
    <row r="37" spans="1:10" x14ac:dyDescent="0.3">
      <c r="B37" s="5" t="s">
        <v>50</v>
      </c>
      <c r="F37" s="14">
        <v>15000</v>
      </c>
      <c r="G37" s="14">
        <v>15000</v>
      </c>
      <c r="H37" s="14">
        <v>15000</v>
      </c>
      <c r="I37" s="14">
        <v>15000</v>
      </c>
      <c r="J37" s="14">
        <v>15000</v>
      </c>
    </row>
    <row r="38" spans="1:10" x14ac:dyDescent="0.3">
      <c r="B38" s="5" t="s">
        <v>52</v>
      </c>
      <c r="F38" s="15">
        <v>0.17</v>
      </c>
      <c r="G38" s="15">
        <v>0.17</v>
      </c>
      <c r="H38" s="15">
        <v>0.17</v>
      </c>
      <c r="I38" s="15">
        <v>0.17</v>
      </c>
      <c r="J38" s="15">
        <v>0.17</v>
      </c>
    </row>
    <row r="39" spans="1:10" x14ac:dyDescent="0.3">
      <c r="B39" s="5" t="s">
        <v>107</v>
      </c>
      <c r="D39" s="23">
        <v>15408</v>
      </c>
      <c r="E39" s="23">
        <v>15005</v>
      </c>
      <c r="F39" s="24">
        <f>E39*(1-0.02)</f>
        <v>14704.9</v>
      </c>
      <c r="G39" s="24">
        <f t="shared" ref="G39:J39" si="19">F39*(1-0.02)</f>
        <v>14410.802</v>
      </c>
      <c r="H39" s="24">
        <f t="shared" si="19"/>
        <v>14122.585959999999</v>
      </c>
      <c r="I39" s="24">
        <f t="shared" si="19"/>
        <v>13840.134240799998</v>
      </c>
      <c r="J39" s="24">
        <f t="shared" si="19"/>
        <v>13563.331555983998</v>
      </c>
    </row>
    <row r="42" spans="1:10" x14ac:dyDescent="0.3">
      <c r="B42" s="39" t="s">
        <v>21</v>
      </c>
      <c r="C42" s="38"/>
      <c r="D42" s="38"/>
      <c r="E42" s="38"/>
      <c r="F42" s="38"/>
      <c r="G42" s="38"/>
      <c r="H42" s="38"/>
      <c r="I42" s="38"/>
      <c r="J42" s="38"/>
    </row>
    <row r="43" spans="1:10" x14ac:dyDescent="0.3">
      <c r="B43" t="s">
        <v>22</v>
      </c>
      <c r="D43" s="4">
        <v>29943</v>
      </c>
      <c r="E43" s="4">
        <v>35934</v>
      </c>
      <c r="F43" s="2">
        <f>F112</f>
        <v>63200.536291360724</v>
      </c>
      <c r="G43" s="2">
        <f t="shared" ref="G43:J43" si="20">G112</f>
        <v>101342.0484013363</v>
      </c>
      <c r="H43" s="2">
        <f t="shared" si="20"/>
        <v>149869.41873748321</v>
      </c>
      <c r="I43" s="2">
        <f t="shared" si="20"/>
        <v>209588.92649080849</v>
      </c>
      <c r="J43" s="2">
        <f t="shared" si="20"/>
        <v>281375.53339700424</v>
      </c>
    </row>
    <row r="44" spans="1:10" x14ac:dyDescent="0.3">
      <c r="B44" t="s">
        <v>23</v>
      </c>
      <c r="D44" s="4">
        <v>35228</v>
      </c>
      <c r="E44" s="4">
        <v>18763</v>
      </c>
      <c r="F44" s="4">
        <v>18763</v>
      </c>
      <c r="G44" s="4">
        <v>18763</v>
      </c>
      <c r="H44" s="4">
        <v>18763</v>
      </c>
      <c r="I44" s="4">
        <v>18763</v>
      </c>
      <c r="J44" s="4">
        <v>18763</v>
      </c>
    </row>
    <row r="45" spans="1:10" x14ac:dyDescent="0.3">
      <c r="B45" t="s">
        <v>24</v>
      </c>
      <c r="D45" s="4">
        <v>33410</v>
      </c>
      <c r="E45" s="4">
        <v>39777</v>
      </c>
      <c r="F45" s="2">
        <f>(F33/365)*F9</f>
        <v>36941.414794520548</v>
      </c>
      <c r="G45" s="2">
        <f>(G33/365)*G9</f>
        <v>39896.727978082192</v>
      </c>
      <c r="H45" s="2">
        <f>(H33/365)*H9</f>
        <v>43088.466216328765</v>
      </c>
      <c r="I45" s="2">
        <f>(I33/365)*I9</f>
        <v>46535.543513635072</v>
      </c>
      <c r="J45" s="2">
        <f>(J33/365)*J9</f>
        <v>50258.386994725886</v>
      </c>
    </row>
    <row r="46" spans="1:10" x14ac:dyDescent="0.3">
      <c r="B46" t="s">
        <v>25</v>
      </c>
      <c r="D46" s="4">
        <v>32833</v>
      </c>
      <c r="E46" s="4">
        <v>33180</v>
      </c>
      <c r="F46" s="4">
        <v>33180</v>
      </c>
      <c r="G46" s="4">
        <v>33180</v>
      </c>
      <c r="H46" s="4">
        <v>33180</v>
      </c>
      <c r="I46" s="4">
        <v>33180</v>
      </c>
      <c r="J46" s="4">
        <v>33180</v>
      </c>
    </row>
    <row r="47" spans="1:10" x14ac:dyDescent="0.3">
      <c r="B47" t="s">
        <v>26</v>
      </c>
      <c r="D47" s="4">
        <v>7286</v>
      </c>
      <c r="E47" s="4">
        <v>5718</v>
      </c>
      <c r="F47" s="2">
        <f>(F34/365)*-F10</f>
        <v>7246.6742021917798</v>
      </c>
      <c r="G47" s="2">
        <f>(G34/365)*-G10</f>
        <v>7826.4081383671228</v>
      </c>
      <c r="H47" s="2">
        <f>(H34/365)*-H10</f>
        <v>8452.5207894364921</v>
      </c>
      <c r="I47" s="2">
        <f>(I34/365)*-I10</f>
        <v>9128.7224525914135</v>
      </c>
      <c r="J47" s="2">
        <f>(J34/365)*-J10</f>
        <v>9859.0202487987281</v>
      </c>
    </row>
    <row r="48" spans="1:10" x14ac:dyDescent="0.3">
      <c r="B48" t="s">
        <v>27</v>
      </c>
      <c r="D48" s="4">
        <v>14287</v>
      </c>
      <c r="E48" s="4">
        <v>14585</v>
      </c>
      <c r="F48" s="4">
        <v>14585</v>
      </c>
      <c r="G48" s="4">
        <v>14585</v>
      </c>
      <c r="H48" s="4">
        <v>14585</v>
      </c>
      <c r="I48" s="4">
        <v>14585</v>
      </c>
      <c r="J48" s="4">
        <v>14585</v>
      </c>
    </row>
    <row r="49" spans="2:10" x14ac:dyDescent="0.3">
      <c r="B49" t="s">
        <v>28</v>
      </c>
      <c r="D49" s="2">
        <f>SUM(D43:D48)</f>
        <v>152987</v>
      </c>
      <c r="E49" s="2">
        <f>SUM(E43:E48)</f>
        <v>147957</v>
      </c>
      <c r="F49" s="2">
        <f>SUM(F43:F48)</f>
        <v>173916.62528807306</v>
      </c>
      <c r="G49" s="2">
        <f t="shared" ref="G49:J49" si="21">SUM(G43:G48)</f>
        <v>215593.18451778562</v>
      </c>
      <c r="H49" s="2">
        <f t="shared" si="21"/>
        <v>267938.40574324847</v>
      </c>
      <c r="I49" s="2">
        <f t="shared" si="21"/>
        <v>331781.19245703495</v>
      </c>
      <c r="J49" s="2">
        <f t="shared" si="21"/>
        <v>408020.94064052886</v>
      </c>
    </row>
    <row r="50" spans="2:10" x14ac:dyDescent="0.3">
      <c r="B50" t="s">
        <v>23</v>
      </c>
      <c r="D50" s="4">
        <v>91479</v>
      </c>
      <c r="E50" s="4">
        <v>77723</v>
      </c>
      <c r="F50" s="4">
        <v>77723</v>
      </c>
      <c r="G50" s="4">
        <v>77723</v>
      </c>
      <c r="H50" s="4">
        <v>77723</v>
      </c>
      <c r="I50" s="4">
        <v>77723</v>
      </c>
      <c r="J50" s="4">
        <v>77723</v>
      </c>
    </row>
    <row r="51" spans="2:10" x14ac:dyDescent="0.3">
      <c r="B51" t="s">
        <v>29</v>
      </c>
      <c r="D51" s="4">
        <v>45680</v>
      </c>
      <c r="E51" s="4">
        <v>49834</v>
      </c>
      <c r="F51" s="2">
        <f>E51-F95-F79</f>
        <v>54845.8364</v>
      </c>
      <c r="G51" s="2">
        <f t="shared" ref="G51:J51" si="22">F51-G95-G79</f>
        <v>60084.349924000002</v>
      </c>
      <c r="H51" s="2">
        <f t="shared" si="22"/>
        <v>65597.300605880009</v>
      </c>
      <c r="I51" s="2">
        <f t="shared" si="22"/>
        <v>71431.232885357211</v>
      </c>
      <c r="J51" s="2">
        <f t="shared" si="22"/>
        <v>77632.234547921427</v>
      </c>
    </row>
    <row r="52" spans="2:10" x14ac:dyDescent="0.3">
      <c r="B52" t="s">
        <v>30</v>
      </c>
      <c r="D52" s="4">
        <v>74834</v>
      </c>
      <c r="E52" s="4">
        <v>83727</v>
      </c>
      <c r="F52" s="4">
        <v>83727</v>
      </c>
      <c r="G52" s="4">
        <v>83727</v>
      </c>
      <c r="H52" s="4">
        <v>83727</v>
      </c>
      <c r="I52" s="4">
        <v>83727</v>
      </c>
      <c r="J52" s="4">
        <v>83727</v>
      </c>
    </row>
    <row r="53" spans="2:10" x14ac:dyDescent="0.3">
      <c r="B53" t="s">
        <v>38</v>
      </c>
      <c r="D53" s="2">
        <f>SUM(D50:D52)</f>
        <v>211993</v>
      </c>
      <c r="E53" s="2">
        <f>SUM(E50:E52)</f>
        <v>211284</v>
      </c>
      <c r="F53" s="2">
        <f>SUM(F50:F52)</f>
        <v>216295.8364</v>
      </c>
      <c r="G53" s="2">
        <f t="shared" ref="G53:J53" si="23">SUM(G50:G52)</f>
        <v>221534.34992400001</v>
      </c>
      <c r="H53" s="2">
        <f t="shared" si="23"/>
        <v>227047.30060588001</v>
      </c>
      <c r="I53" s="2">
        <f t="shared" si="23"/>
        <v>232881.23288535723</v>
      </c>
      <c r="J53" s="2">
        <f t="shared" si="23"/>
        <v>239082.23454792143</v>
      </c>
    </row>
    <row r="54" spans="2:10" x14ac:dyDescent="0.3">
      <c r="B54" s="10" t="s">
        <v>31</v>
      </c>
      <c r="C54" s="10"/>
      <c r="D54" s="11">
        <f>D49+D53</f>
        <v>364980</v>
      </c>
      <c r="E54" s="11">
        <f>E49+E53</f>
        <v>359241</v>
      </c>
      <c r="F54" s="11">
        <f t="shared" ref="F54:J54" si="24">F49+F53</f>
        <v>390212.46168807306</v>
      </c>
      <c r="G54" s="11">
        <f t="shared" si="24"/>
        <v>437127.53444178565</v>
      </c>
      <c r="H54" s="11">
        <f t="shared" si="24"/>
        <v>494985.70634912851</v>
      </c>
      <c r="I54" s="11">
        <f t="shared" si="24"/>
        <v>564662.42534239218</v>
      </c>
      <c r="J54" s="11">
        <f t="shared" si="24"/>
        <v>647103.17518845026</v>
      </c>
    </row>
    <row r="56" spans="2:10" x14ac:dyDescent="0.3">
      <c r="B56" t="s">
        <v>32</v>
      </c>
      <c r="D56" s="4">
        <v>68960</v>
      </c>
      <c r="E56" s="4">
        <v>69860</v>
      </c>
      <c r="F56" s="2">
        <f>(F35/365)*-F10</f>
        <v>69172.799202739712</v>
      </c>
      <c r="G56" s="2">
        <f>(G35/365)*-G10</f>
        <v>74706.623138958894</v>
      </c>
      <c r="H56" s="2">
        <f>(H35/365)*-H10</f>
        <v>80683.1529900756</v>
      </c>
      <c r="I56" s="2">
        <f>(I35/365)*-I10</f>
        <v>87137.805229281657</v>
      </c>
      <c r="J56" s="2">
        <f>(J35/365)*-J10</f>
        <v>94108.82964762421</v>
      </c>
    </row>
    <row r="57" spans="2:10" x14ac:dyDescent="0.3">
      <c r="B57" t="s">
        <v>33</v>
      </c>
      <c r="D57" s="4">
        <v>78304</v>
      </c>
      <c r="E57" s="4">
        <v>66387</v>
      </c>
      <c r="F57" s="4">
        <v>66387</v>
      </c>
      <c r="G57" s="4">
        <v>66387</v>
      </c>
      <c r="H57" s="4">
        <v>66387</v>
      </c>
      <c r="I57" s="4">
        <v>66387</v>
      </c>
      <c r="J57" s="4">
        <v>66387</v>
      </c>
    </row>
    <row r="58" spans="2:10" x14ac:dyDescent="0.3">
      <c r="B58" t="s">
        <v>34</v>
      </c>
      <c r="D58" s="4">
        <v>8249</v>
      </c>
      <c r="E58" s="4">
        <v>9055</v>
      </c>
      <c r="F58" s="4">
        <v>9055</v>
      </c>
      <c r="G58" s="4">
        <v>9055</v>
      </c>
      <c r="H58" s="4">
        <v>9055</v>
      </c>
      <c r="I58" s="4">
        <v>9055</v>
      </c>
      <c r="J58" s="4">
        <v>9055</v>
      </c>
    </row>
    <row r="59" spans="2:10" x14ac:dyDescent="0.3">
      <c r="B59" t="s">
        <v>35</v>
      </c>
      <c r="D59" s="4">
        <v>9967</v>
      </c>
      <c r="E59" s="4">
        <v>7979</v>
      </c>
      <c r="F59" s="4">
        <v>7979</v>
      </c>
      <c r="G59" s="4">
        <v>7979</v>
      </c>
      <c r="H59" s="4">
        <v>7979</v>
      </c>
      <c r="I59" s="4">
        <v>7979</v>
      </c>
      <c r="J59" s="4">
        <v>7979</v>
      </c>
    </row>
    <row r="60" spans="2:10" x14ac:dyDescent="0.3">
      <c r="B60" t="s">
        <v>36</v>
      </c>
      <c r="D60" s="4">
        <v>10912</v>
      </c>
      <c r="E60" s="4">
        <v>12350</v>
      </c>
      <c r="F60" s="4">
        <v>12350</v>
      </c>
      <c r="G60" s="4">
        <v>12350</v>
      </c>
      <c r="H60" s="4">
        <v>12350</v>
      </c>
      <c r="I60" s="4">
        <v>12350</v>
      </c>
      <c r="J60" s="4">
        <v>12350</v>
      </c>
    </row>
    <row r="61" spans="2:10" x14ac:dyDescent="0.3">
      <c r="B61" t="s">
        <v>37</v>
      </c>
      <c r="D61" s="2">
        <f>SUM(D56:D60)</f>
        <v>176392</v>
      </c>
      <c r="E61" s="2">
        <f>SUM(E56:E60)</f>
        <v>165631</v>
      </c>
      <c r="F61" s="2">
        <f t="shared" ref="F61:J61" si="25">SUM(F56:F60)</f>
        <v>164943.79920273973</v>
      </c>
      <c r="G61" s="2">
        <f t="shared" si="25"/>
        <v>170477.62313895888</v>
      </c>
      <c r="H61" s="2">
        <f t="shared" si="25"/>
        <v>176454.15299007558</v>
      </c>
      <c r="I61" s="2">
        <f t="shared" si="25"/>
        <v>182908.80522928166</v>
      </c>
      <c r="J61" s="2">
        <f t="shared" si="25"/>
        <v>189879.82964762422</v>
      </c>
    </row>
    <row r="62" spans="2:10" x14ac:dyDescent="0.3">
      <c r="B62" t="s">
        <v>36</v>
      </c>
      <c r="D62" s="4">
        <v>85750</v>
      </c>
      <c r="E62" s="4">
        <v>78328</v>
      </c>
      <c r="F62" s="4">
        <v>78328</v>
      </c>
      <c r="G62" s="4">
        <v>78328</v>
      </c>
      <c r="H62" s="4">
        <v>78328</v>
      </c>
      <c r="I62" s="4">
        <v>78328</v>
      </c>
      <c r="J62" s="4">
        <v>78328</v>
      </c>
    </row>
    <row r="63" spans="2:10" x14ac:dyDescent="0.3">
      <c r="B63" t="s">
        <v>39</v>
      </c>
      <c r="D63" s="4">
        <v>45888</v>
      </c>
      <c r="E63" s="4">
        <v>41549</v>
      </c>
      <c r="F63" s="4">
        <v>41549</v>
      </c>
      <c r="G63" s="4">
        <v>41549</v>
      </c>
      <c r="H63" s="4">
        <v>41549</v>
      </c>
      <c r="I63" s="4">
        <v>41549</v>
      </c>
      <c r="J63" s="4">
        <v>41549</v>
      </c>
    </row>
    <row r="64" spans="2:10" x14ac:dyDescent="0.3">
      <c r="B64" t="s">
        <v>40</v>
      </c>
      <c r="D64" s="2">
        <f>SUM(D62:D63)</f>
        <v>131638</v>
      </c>
      <c r="E64" s="2">
        <f>SUM(E62:E63)</f>
        <v>119877</v>
      </c>
      <c r="F64" s="2">
        <f t="shared" ref="F64:J64" si="26">SUM(F62:F63)</f>
        <v>119877</v>
      </c>
      <c r="G64" s="2">
        <f t="shared" si="26"/>
        <v>119877</v>
      </c>
      <c r="H64" s="2">
        <f t="shared" si="26"/>
        <v>119877</v>
      </c>
      <c r="I64" s="2">
        <f t="shared" si="26"/>
        <v>119877</v>
      </c>
      <c r="J64" s="2">
        <f t="shared" si="26"/>
        <v>119877</v>
      </c>
    </row>
    <row r="65" spans="1:10" x14ac:dyDescent="0.3">
      <c r="B65" s="10" t="s">
        <v>41</v>
      </c>
      <c r="C65" s="10"/>
      <c r="D65" s="11">
        <f>D64+D61</f>
        <v>308030</v>
      </c>
      <c r="E65" s="11">
        <f>E64+E61</f>
        <v>285508</v>
      </c>
      <c r="F65" s="11">
        <f t="shared" ref="F65:J65" si="27">F64+F61</f>
        <v>284820.79920273973</v>
      </c>
      <c r="G65" s="11">
        <f t="shared" si="27"/>
        <v>290354.62313895888</v>
      </c>
      <c r="H65" s="11">
        <f t="shared" si="27"/>
        <v>296331.15299007558</v>
      </c>
      <c r="I65" s="11">
        <f t="shared" si="27"/>
        <v>302785.80522928166</v>
      </c>
      <c r="J65" s="11">
        <f t="shared" si="27"/>
        <v>309756.82964762422</v>
      </c>
    </row>
    <row r="67" spans="1:10" x14ac:dyDescent="0.3">
      <c r="B67" t="s">
        <v>42</v>
      </c>
      <c r="D67" s="4">
        <v>83276</v>
      </c>
      <c r="E67" s="4">
        <v>93568</v>
      </c>
      <c r="F67" s="4">
        <f>E67+F80</f>
        <v>106431</v>
      </c>
      <c r="G67" s="4">
        <f t="shared" ref="G67:J67" si="28">F67+G80</f>
        <v>119294</v>
      </c>
      <c r="H67" s="4">
        <f t="shared" si="28"/>
        <v>132157</v>
      </c>
      <c r="I67" s="4">
        <f t="shared" si="28"/>
        <v>145020</v>
      </c>
      <c r="J67" s="4">
        <f t="shared" si="28"/>
        <v>157883</v>
      </c>
    </row>
    <row r="68" spans="1:10" x14ac:dyDescent="0.3">
      <c r="B68" t="s">
        <v>43</v>
      </c>
      <c r="D68" s="4">
        <v>-19154</v>
      </c>
      <c r="E68" s="4">
        <v>-14264</v>
      </c>
      <c r="F68" s="2">
        <f>(E68+F17)-F37+F103</f>
        <v>4531.6624853333487</v>
      </c>
      <c r="G68" s="2">
        <f>(F68+G17)-G37+G103</f>
        <v>33049.911302826731</v>
      </c>
      <c r="H68" s="2">
        <f>(G68+H17)-H37+H103</f>
        <v>72068.553359052879</v>
      </c>
      <c r="I68" s="2">
        <f>(H68+I17)-I37+I103</f>
        <v>122427.62011311053</v>
      </c>
      <c r="J68" s="2">
        <f>(I68+J17)-J37+J103</f>
        <v>185034.34554082609</v>
      </c>
    </row>
    <row r="69" spans="1:10" x14ac:dyDescent="0.3">
      <c r="B69" t="s">
        <v>44</v>
      </c>
      <c r="D69" s="4">
        <v>-7172</v>
      </c>
      <c r="E69" s="4">
        <v>-5571</v>
      </c>
      <c r="F69" s="4">
        <v>-5571</v>
      </c>
      <c r="G69" s="4">
        <v>-5571</v>
      </c>
      <c r="H69" s="4">
        <v>-5571</v>
      </c>
      <c r="I69" s="4">
        <v>-5571</v>
      </c>
      <c r="J69" s="4">
        <v>-5571</v>
      </c>
    </row>
    <row r="70" spans="1:10" x14ac:dyDescent="0.3">
      <c r="B70" s="10" t="s">
        <v>45</v>
      </c>
      <c r="C70" s="10"/>
      <c r="D70" s="11">
        <f>SUM(D67:D69)</f>
        <v>56950</v>
      </c>
      <c r="E70" s="11">
        <f>SUM(E67:E69)</f>
        <v>73733</v>
      </c>
      <c r="F70" s="11">
        <f t="shared" ref="F70:J70" si="29">SUM(F67:F69)</f>
        <v>105391.66248533335</v>
      </c>
      <c r="G70" s="11">
        <f t="shared" si="29"/>
        <v>146772.91130282672</v>
      </c>
      <c r="H70" s="11">
        <f t="shared" si="29"/>
        <v>198654.55335905286</v>
      </c>
      <c r="I70" s="11">
        <f t="shared" si="29"/>
        <v>261876.62011311052</v>
      </c>
      <c r="J70" s="11">
        <f t="shared" si="29"/>
        <v>337346.34554082609</v>
      </c>
    </row>
    <row r="72" spans="1:10" x14ac:dyDescent="0.3">
      <c r="A72" t="s">
        <v>18</v>
      </c>
      <c r="B72" t="s">
        <v>46</v>
      </c>
      <c r="D72" t="str">
        <f t="shared" ref="D72:J72" si="30">IF(ROUND(D70+D65-D54,2)=0,"Balanced","Error")</f>
        <v>Balanced</v>
      </c>
      <c r="E72" t="str">
        <f t="shared" si="30"/>
        <v>Balanced</v>
      </c>
      <c r="F72" t="str">
        <f t="shared" si="30"/>
        <v>Balanced</v>
      </c>
      <c r="G72" t="str">
        <f t="shared" si="30"/>
        <v>Balanced</v>
      </c>
      <c r="H72" t="str">
        <f t="shared" si="30"/>
        <v>Balanced</v>
      </c>
      <c r="I72" t="str">
        <f t="shared" si="30"/>
        <v>Balanced</v>
      </c>
      <c r="J72" t="str">
        <f t="shared" si="30"/>
        <v>Balanced</v>
      </c>
    </row>
    <row r="74" spans="1:10" x14ac:dyDescent="0.3">
      <c r="B74" s="39" t="s">
        <v>53</v>
      </c>
      <c r="C74" s="38"/>
      <c r="D74" s="38"/>
      <c r="E74" s="38"/>
      <c r="F74" s="47"/>
      <c r="G74" s="47"/>
      <c r="H74" s="47"/>
      <c r="I74" s="47"/>
      <c r="J74" s="47"/>
    </row>
    <row r="76" spans="1:10" x14ac:dyDescent="0.3">
      <c r="B76" s="1" t="s">
        <v>54</v>
      </c>
    </row>
    <row r="77" spans="1:10" x14ac:dyDescent="0.3">
      <c r="B77" s="1"/>
    </row>
    <row r="78" spans="1:10" x14ac:dyDescent="0.3">
      <c r="B78" t="s">
        <v>55</v>
      </c>
      <c r="C78" s="4">
        <v>96995</v>
      </c>
      <c r="D78" s="4">
        <v>93736</v>
      </c>
      <c r="E78" s="4">
        <v>112010</v>
      </c>
      <c r="F78" s="2">
        <f>F17</f>
        <v>121532.32915200005</v>
      </c>
      <c r="G78" s="2">
        <f>G17</f>
        <v>131254.91548416007</v>
      </c>
      <c r="H78" s="2">
        <f>H17</f>
        <v>141755.30872289283</v>
      </c>
      <c r="I78" s="2">
        <f>I17</f>
        <v>153095.73342072431</v>
      </c>
      <c r="J78" s="2">
        <f>J17</f>
        <v>165343.39209438223</v>
      </c>
    </row>
    <row r="79" spans="1:10" x14ac:dyDescent="0.3">
      <c r="B79" t="s">
        <v>56</v>
      </c>
      <c r="C79" s="4">
        <v>11519</v>
      </c>
      <c r="D79" s="4">
        <v>11445</v>
      </c>
      <c r="E79" s="4">
        <v>11698</v>
      </c>
      <c r="F79" s="2">
        <f>F38*E51</f>
        <v>8471.7800000000007</v>
      </c>
      <c r="G79" s="2">
        <f t="shared" ref="G79:J79" si="31">G38*F51</f>
        <v>9323.7921880000013</v>
      </c>
      <c r="H79" s="2">
        <f t="shared" si="31"/>
        <v>10214.33948708</v>
      </c>
      <c r="I79" s="2">
        <f t="shared" si="31"/>
        <v>11151.541102999603</v>
      </c>
      <c r="J79" s="2">
        <f t="shared" si="31"/>
        <v>12143.309590510728</v>
      </c>
    </row>
    <row r="80" spans="1:10" x14ac:dyDescent="0.3">
      <c r="B80" t="s">
        <v>57</v>
      </c>
      <c r="C80" s="4">
        <v>10833</v>
      </c>
      <c r="D80" s="4">
        <v>11688</v>
      </c>
      <c r="E80" s="4">
        <v>12863</v>
      </c>
      <c r="F80" s="2">
        <f>E80</f>
        <v>12863</v>
      </c>
      <c r="G80" s="2">
        <f t="shared" ref="G80:J80" si="32">F80</f>
        <v>12863</v>
      </c>
      <c r="H80" s="2">
        <f t="shared" si="32"/>
        <v>12863</v>
      </c>
      <c r="I80" s="2">
        <f t="shared" si="32"/>
        <v>12863</v>
      </c>
      <c r="J80" s="2">
        <f t="shared" si="32"/>
        <v>12863</v>
      </c>
    </row>
    <row r="81" spans="2:10" x14ac:dyDescent="0.3">
      <c r="B81" t="s">
        <v>58</v>
      </c>
      <c r="C81" s="4">
        <v>-2227</v>
      </c>
      <c r="D81" s="4">
        <v>-2266</v>
      </c>
      <c r="E81" s="4">
        <v>-89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</row>
    <row r="82" spans="2:10" x14ac:dyDescent="0.3">
      <c r="B82" t="s">
        <v>59</v>
      </c>
      <c r="C82" s="4">
        <v>-1688</v>
      </c>
      <c r="D82" s="4">
        <v>-3788</v>
      </c>
      <c r="E82" s="4">
        <v>-6682</v>
      </c>
      <c r="F82" s="2">
        <f>E45-F45</f>
        <v>2835.5852054794523</v>
      </c>
      <c r="G82" s="2">
        <f t="shared" ref="G82:J82" si="33">F45-G45</f>
        <v>-2955.3131835616441</v>
      </c>
      <c r="H82" s="2">
        <f t="shared" si="33"/>
        <v>-3191.738238246573</v>
      </c>
      <c r="I82" s="2">
        <f t="shared" si="33"/>
        <v>-3447.0772973063067</v>
      </c>
      <c r="J82" s="2">
        <f t="shared" si="33"/>
        <v>-3722.8434810908147</v>
      </c>
    </row>
    <row r="83" spans="2:10" x14ac:dyDescent="0.3">
      <c r="B83" t="s">
        <v>60</v>
      </c>
      <c r="C83" s="4">
        <v>1271</v>
      </c>
      <c r="D83" s="4">
        <v>-1356</v>
      </c>
      <c r="E83" s="4">
        <v>-347</v>
      </c>
      <c r="F83" s="2">
        <f>E46-F46</f>
        <v>0</v>
      </c>
      <c r="G83" s="2">
        <f t="shared" ref="G83:J83" si="34">F46-G46</f>
        <v>0</v>
      </c>
      <c r="H83" s="2">
        <f t="shared" si="34"/>
        <v>0</v>
      </c>
      <c r="I83" s="2">
        <f t="shared" si="34"/>
        <v>0</v>
      </c>
      <c r="J83" s="2">
        <f t="shared" si="34"/>
        <v>0</v>
      </c>
    </row>
    <row r="84" spans="2:10" x14ac:dyDescent="0.3">
      <c r="B84" t="s">
        <v>26</v>
      </c>
      <c r="C84" s="4">
        <v>-1618</v>
      </c>
      <c r="D84" s="4">
        <v>-1046</v>
      </c>
      <c r="E84" s="4">
        <v>1400</v>
      </c>
      <c r="F84" s="2">
        <f>E47-F47</f>
        <v>-1528.6742021917798</v>
      </c>
      <c r="G84" s="2">
        <f t="shared" ref="G84:J84" si="35">F47-G47</f>
        <v>-579.73393617534293</v>
      </c>
      <c r="H84" s="2">
        <f t="shared" si="35"/>
        <v>-626.11265106936935</v>
      </c>
      <c r="I84" s="2">
        <f t="shared" si="35"/>
        <v>-676.20166315492133</v>
      </c>
      <c r="J84" s="2">
        <f t="shared" si="35"/>
        <v>-730.2977962073146</v>
      </c>
    </row>
    <row r="85" spans="2:10" x14ac:dyDescent="0.3">
      <c r="B85" t="s">
        <v>61</v>
      </c>
      <c r="C85" s="4">
        <v>-5684</v>
      </c>
      <c r="D85" s="4">
        <v>-11731</v>
      </c>
      <c r="E85" s="4">
        <v>-9197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2:10" x14ac:dyDescent="0.3">
      <c r="B86" t="s">
        <v>32</v>
      </c>
      <c r="C86" s="4">
        <v>-1889</v>
      </c>
      <c r="D86" s="4">
        <v>6020</v>
      </c>
      <c r="E86" s="4">
        <v>902</v>
      </c>
      <c r="F86" s="2">
        <f>F56-E56</f>
        <v>-687.2007972602878</v>
      </c>
      <c r="G86" s="2">
        <f t="shared" ref="G86:J86" si="36">G56-F56</f>
        <v>5533.8239362191816</v>
      </c>
      <c r="H86" s="2">
        <f t="shared" si="36"/>
        <v>5976.5298511167057</v>
      </c>
      <c r="I86" s="2">
        <f t="shared" si="36"/>
        <v>6454.6522392060579</v>
      </c>
      <c r="J86" s="2">
        <f t="shared" si="36"/>
        <v>6971.024418342553</v>
      </c>
    </row>
    <row r="87" spans="2:10" x14ac:dyDescent="0.3">
      <c r="B87" t="s">
        <v>62</v>
      </c>
      <c r="C87" s="4">
        <v>3031</v>
      </c>
      <c r="D87" s="4">
        <v>15552</v>
      </c>
      <c r="E87" s="4">
        <v>-11076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</row>
    <row r="88" spans="2:10" x14ac:dyDescent="0.3">
      <c r="B88" s="10" t="s">
        <v>63</v>
      </c>
      <c r="C88" s="11">
        <f>SUM(C78:C87)</f>
        <v>110543</v>
      </c>
      <c r="D88" s="11">
        <f t="shared" ref="D88:J88" si="37">SUM(D78:D87)</f>
        <v>118254</v>
      </c>
      <c r="E88" s="11">
        <f t="shared" si="37"/>
        <v>111482</v>
      </c>
      <c r="F88" s="11">
        <f t="shared" si="37"/>
        <v>143486.81935802742</v>
      </c>
      <c r="G88" s="11">
        <f t="shared" si="37"/>
        <v>155440.48448864225</v>
      </c>
      <c r="H88" s="11">
        <f t="shared" si="37"/>
        <v>166991.32717177359</v>
      </c>
      <c r="I88" s="11">
        <f t="shared" si="37"/>
        <v>179441.64780246874</v>
      </c>
      <c r="J88" s="11">
        <f t="shared" si="37"/>
        <v>192867.5848259374</v>
      </c>
    </row>
    <row r="91" spans="2:10" x14ac:dyDescent="0.3">
      <c r="B91" s="1" t="s">
        <v>64</v>
      </c>
    </row>
    <row r="92" spans="2:10" x14ac:dyDescent="0.3">
      <c r="B92" t="s">
        <v>65</v>
      </c>
      <c r="C92" s="4">
        <v>-29513</v>
      </c>
      <c r="D92" s="4">
        <v>-48656</v>
      </c>
      <c r="E92" s="4">
        <v>-24407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2:10" x14ac:dyDescent="0.3">
      <c r="B93" t="s">
        <v>66</v>
      </c>
      <c r="C93" s="4">
        <v>39686</v>
      </c>
      <c r="D93" s="4">
        <v>51211</v>
      </c>
      <c r="E93" s="4">
        <v>40907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</row>
    <row r="94" spans="2:10" x14ac:dyDescent="0.3">
      <c r="B94" t="s">
        <v>67</v>
      </c>
      <c r="C94" s="4">
        <v>5828</v>
      </c>
      <c r="D94" s="4">
        <v>11135</v>
      </c>
      <c r="E94" s="4">
        <v>12890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2:10" x14ac:dyDescent="0.3">
      <c r="B95" t="s">
        <v>68</v>
      </c>
      <c r="C95" s="4">
        <v>-10959</v>
      </c>
      <c r="D95" s="4">
        <v>-9447</v>
      </c>
      <c r="E95" s="4">
        <v>-12715</v>
      </c>
      <c r="F95" s="2">
        <f>-F36*F9</f>
        <v>-13483.616399999999</v>
      </c>
      <c r="G95" s="2">
        <f>-G36*G9</f>
        <v>-14562.305711999999</v>
      </c>
      <c r="H95" s="2">
        <f>-H36*H9</f>
        <v>-15727.29016896</v>
      </c>
      <c r="I95" s="2">
        <f>-I36*I9</f>
        <v>-16985.473382476805</v>
      </c>
      <c r="J95" s="2">
        <f>-J36*J9</f>
        <v>-18344.311253074949</v>
      </c>
    </row>
    <row r="96" spans="2:10" x14ac:dyDescent="0.3">
      <c r="B96" t="s">
        <v>58</v>
      </c>
      <c r="C96" s="4">
        <v>-1337</v>
      </c>
      <c r="D96" s="4">
        <v>-1308</v>
      </c>
      <c r="E96" s="4">
        <v>-1480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</row>
    <row r="97" spans="2:10" x14ac:dyDescent="0.3">
      <c r="B97" s="10" t="s">
        <v>69</v>
      </c>
      <c r="C97" s="11">
        <f>SUM(C92:C96)</f>
        <v>3705</v>
      </c>
      <c r="D97" s="11">
        <f t="shared" ref="D97:E97" si="38">SUM(D92:D96)</f>
        <v>2935</v>
      </c>
      <c r="E97" s="11">
        <f t="shared" si="38"/>
        <v>15195</v>
      </c>
      <c r="F97" s="11">
        <f t="shared" ref="F97" si="39">SUM(F92:F96)</f>
        <v>-13483.616399999999</v>
      </c>
      <c r="G97" s="11">
        <f t="shared" ref="G97" si="40">SUM(G92:G96)</f>
        <v>-14562.305711999999</v>
      </c>
      <c r="H97" s="11">
        <f t="shared" ref="H97" si="41">SUM(H92:H96)</f>
        <v>-15727.29016896</v>
      </c>
      <c r="I97" s="11">
        <f t="shared" ref="I97" si="42">SUM(I92:I96)</f>
        <v>-16985.473382476805</v>
      </c>
      <c r="J97" s="11">
        <f t="shared" ref="J97" si="43">SUM(J92:J96)</f>
        <v>-18344.311253074949</v>
      </c>
    </row>
    <row r="99" spans="2:10" x14ac:dyDescent="0.3">
      <c r="B99" s="1" t="s">
        <v>70</v>
      </c>
    </row>
    <row r="100" spans="2:10" x14ac:dyDescent="0.3">
      <c r="B100" s="1"/>
    </row>
    <row r="101" spans="2:10" x14ac:dyDescent="0.3">
      <c r="B101" t="s">
        <v>71</v>
      </c>
      <c r="C101" s="2">
        <v>-5431</v>
      </c>
      <c r="D101" s="2">
        <v>-5441</v>
      </c>
      <c r="E101" s="2">
        <v>-5960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</row>
    <row r="102" spans="2:10" x14ac:dyDescent="0.3">
      <c r="B102" t="s">
        <v>72</v>
      </c>
      <c r="C102" s="2">
        <v>-15025</v>
      </c>
      <c r="D102" s="2">
        <v>-15234</v>
      </c>
      <c r="E102" s="2">
        <v>-15421</v>
      </c>
      <c r="F102" s="2">
        <f>-F37</f>
        <v>-15000</v>
      </c>
      <c r="G102" s="2">
        <f>-G37</f>
        <v>-15000</v>
      </c>
      <c r="H102" s="2">
        <f>-H37</f>
        <v>-15000</v>
      </c>
      <c r="I102" s="2">
        <f>-I37</f>
        <v>-15000</v>
      </c>
      <c r="J102" s="2">
        <f>-J37</f>
        <v>-15000</v>
      </c>
    </row>
    <row r="103" spans="2:10" x14ac:dyDescent="0.3">
      <c r="B103" t="s">
        <v>73</v>
      </c>
      <c r="C103" s="2">
        <v>-77550</v>
      </c>
      <c r="D103" s="2">
        <v>-94949</v>
      </c>
      <c r="E103" s="2">
        <v>-90711</v>
      </c>
      <c r="F103" s="4">
        <v>-87736.666666666701</v>
      </c>
      <c r="G103" s="4">
        <v>-87736.666666666672</v>
      </c>
      <c r="H103" s="4">
        <v>-87736.666666666672</v>
      </c>
      <c r="I103" s="4">
        <v>-87736.666666666672</v>
      </c>
      <c r="J103" s="4">
        <v>-87736.666666666672</v>
      </c>
    </row>
    <row r="104" spans="2:10" x14ac:dyDescent="0.3">
      <c r="B104" t="s">
        <v>74</v>
      </c>
      <c r="C104" s="2">
        <v>5228</v>
      </c>
      <c r="D104" s="2">
        <v>0</v>
      </c>
      <c r="E104" s="2">
        <v>4481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2:10" x14ac:dyDescent="0.3">
      <c r="B105" t="s">
        <v>75</v>
      </c>
      <c r="C105" s="2">
        <v>-11151</v>
      </c>
      <c r="D105" s="2">
        <v>-9958</v>
      </c>
      <c r="E105" s="2">
        <v>-10932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</row>
    <row r="106" spans="2:10" x14ac:dyDescent="0.3">
      <c r="B106" t="s">
        <v>76</v>
      </c>
      <c r="C106" s="2">
        <v>-3978</v>
      </c>
      <c r="D106" s="2">
        <v>3960</v>
      </c>
      <c r="E106" s="2">
        <v>-2032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2:10" x14ac:dyDescent="0.3">
      <c r="B107" t="s">
        <v>58</v>
      </c>
      <c r="C107" s="2">
        <v>-581</v>
      </c>
      <c r="D107" s="2">
        <v>-361</v>
      </c>
      <c r="E107" s="2">
        <v>-111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2:10" x14ac:dyDescent="0.3">
      <c r="B108" s="10" t="s">
        <v>77</v>
      </c>
      <c r="C108" s="11">
        <f>SUM(C101:C107)</f>
        <v>-108488</v>
      </c>
      <c r="D108" s="11">
        <f t="shared" ref="D108:E108" si="44">SUM(D101:D107)</f>
        <v>-121983</v>
      </c>
      <c r="E108" s="11">
        <f t="shared" si="44"/>
        <v>-120686</v>
      </c>
      <c r="F108" s="11">
        <f t="shared" ref="F108" si="45">SUM(F101:F107)</f>
        <v>-102736.6666666667</v>
      </c>
      <c r="G108" s="11">
        <f t="shared" ref="G108" si="46">SUM(G101:G107)</f>
        <v>-102736.66666666667</v>
      </c>
      <c r="H108" s="11">
        <f t="shared" ref="H108" si="47">SUM(H101:H107)</f>
        <v>-102736.66666666667</v>
      </c>
      <c r="I108" s="11">
        <f t="shared" ref="I108" si="48">SUM(I101:I107)</f>
        <v>-102736.66666666667</v>
      </c>
      <c r="J108" s="11">
        <f t="shared" ref="J108" si="49">SUM(J101:J107)</f>
        <v>-102736.66666666667</v>
      </c>
    </row>
    <row r="110" spans="2:10" x14ac:dyDescent="0.3">
      <c r="B110" s="1" t="s">
        <v>78</v>
      </c>
      <c r="C110" s="3">
        <f t="shared" ref="C110:J110" si="50">C88+C97+C108</f>
        <v>5760</v>
      </c>
      <c r="D110" s="3">
        <f t="shared" si="50"/>
        <v>-794</v>
      </c>
      <c r="E110" s="3">
        <f t="shared" si="50"/>
        <v>5991</v>
      </c>
      <c r="F110" s="3">
        <f t="shared" si="50"/>
        <v>27266.536291360724</v>
      </c>
      <c r="G110" s="3">
        <f t="shared" si="50"/>
        <v>38141.512109975578</v>
      </c>
      <c r="H110" s="3">
        <f t="shared" si="50"/>
        <v>48527.370336146923</v>
      </c>
      <c r="I110" s="3">
        <f t="shared" si="50"/>
        <v>59719.507753325262</v>
      </c>
      <c r="J110" s="3">
        <f t="shared" si="50"/>
        <v>71786.606906195768</v>
      </c>
    </row>
    <row r="111" spans="2:10" x14ac:dyDescent="0.3">
      <c r="B111" t="s">
        <v>79</v>
      </c>
      <c r="E111" s="2">
        <f>D43</f>
        <v>29943</v>
      </c>
      <c r="F111" s="2">
        <f t="shared" ref="F111:J111" si="51">E43</f>
        <v>35934</v>
      </c>
      <c r="G111" s="2">
        <f t="shared" si="51"/>
        <v>63200.536291360724</v>
      </c>
      <c r="H111" s="2">
        <f t="shared" si="51"/>
        <v>101342.0484013363</v>
      </c>
      <c r="I111" s="2">
        <f t="shared" si="51"/>
        <v>149869.41873748321</v>
      </c>
      <c r="J111" s="2">
        <f t="shared" si="51"/>
        <v>209588.92649080849</v>
      </c>
    </row>
    <row r="112" spans="2:10" x14ac:dyDescent="0.3">
      <c r="B112" s="10" t="s">
        <v>80</v>
      </c>
      <c r="C112" s="10"/>
      <c r="D112" s="10"/>
      <c r="E112" s="11">
        <f>SUM(E110:E111)</f>
        <v>35934</v>
      </c>
      <c r="F112" s="11">
        <f t="shared" ref="F112:J112" si="52">SUM(F110:F111)</f>
        <v>63200.536291360724</v>
      </c>
      <c r="G112" s="11">
        <f t="shared" si="52"/>
        <v>101342.0484013363</v>
      </c>
      <c r="H112" s="11">
        <f t="shared" si="52"/>
        <v>149869.41873748321</v>
      </c>
      <c r="I112" s="11">
        <f t="shared" si="52"/>
        <v>209588.92649080849</v>
      </c>
      <c r="J112" s="11">
        <f t="shared" si="52"/>
        <v>281375.53339700424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81E1-F8AF-4A64-8261-16F0710BADEE}">
  <dimension ref="A2:H45"/>
  <sheetViews>
    <sheetView showGridLines="0" topLeftCell="A17" workbookViewId="0">
      <selection activeCell="C15" sqref="C15"/>
    </sheetView>
  </sheetViews>
  <sheetFormatPr defaultRowHeight="14.4" x14ac:dyDescent="0.3"/>
  <cols>
    <col min="1" max="1" width="19.33203125" customWidth="1"/>
    <col min="2" max="2" width="25.77734375" customWidth="1"/>
    <col min="3" max="6" width="10.21875" bestFit="1" customWidth="1"/>
    <col min="7" max="7" width="11.21875" bestFit="1" customWidth="1"/>
    <col min="11" max="11" width="15.77734375" customWidth="1"/>
  </cols>
  <sheetData>
    <row r="2" spans="1:8" ht="31.2" x14ac:dyDescent="0.6">
      <c r="A2" t="s">
        <v>18</v>
      </c>
      <c r="B2" s="16" t="s">
        <v>116</v>
      </c>
    </row>
    <row r="3" spans="1:8" ht="25.8" x14ac:dyDescent="0.5">
      <c r="B3" s="17" t="s">
        <v>82</v>
      </c>
    </row>
    <row r="4" spans="1:8" ht="15.6" x14ac:dyDescent="0.3">
      <c r="B4" s="18" t="s">
        <v>83</v>
      </c>
      <c r="C4" t="s">
        <v>119</v>
      </c>
      <c r="D4" s="54" t="s">
        <v>82</v>
      </c>
      <c r="F4" t="s">
        <v>120</v>
      </c>
      <c r="H4" s="45">
        <f>G33</f>
        <v>134.70155527342888</v>
      </c>
    </row>
    <row r="5" spans="1:8" x14ac:dyDescent="0.3">
      <c r="B5" t="s">
        <v>84</v>
      </c>
      <c r="C5" t="s">
        <v>118</v>
      </c>
      <c r="D5" s="42">
        <v>46269</v>
      </c>
      <c r="F5" t="s">
        <v>121</v>
      </c>
      <c r="H5" s="45">
        <f>WACC!C7</f>
        <v>319.97000000000003</v>
      </c>
    </row>
    <row r="7" spans="1:8" x14ac:dyDescent="0.3">
      <c r="B7" s="37" t="s">
        <v>92</v>
      </c>
      <c r="C7" s="38"/>
      <c r="D7" s="38"/>
      <c r="E7" s="38"/>
      <c r="F7" s="38"/>
      <c r="G7" s="38"/>
    </row>
    <row r="8" spans="1:8" x14ac:dyDescent="0.3">
      <c r="B8" t="s">
        <v>93</v>
      </c>
      <c r="C8" s="36">
        <v>0.12</v>
      </c>
      <c r="D8" s="36">
        <v>0.12</v>
      </c>
      <c r="E8" s="36">
        <v>0.12</v>
      </c>
      <c r="F8" s="36">
        <v>0.12</v>
      </c>
      <c r="G8" s="36">
        <v>0.12</v>
      </c>
    </row>
    <row r="9" spans="1:8" x14ac:dyDescent="0.3">
      <c r="B9" s="1" t="s">
        <v>91</v>
      </c>
      <c r="C9" s="12">
        <f>WACC!$C$24</f>
        <v>0.10101505157196511</v>
      </c>
    </row>
    <row r="10" spans="1:8" x14ac:dyDescent="0.3">
      <c r="B10" s="1" t="s">
        <v>115</v>
      </c>
      <c r="C10" s="13">
        <v>3.5000000000000003E-2</v>
      </c>
      <c r="D10" s="2"/>
      <c r="E10" s="2"/>
      <c r="F10" s="2"/>
      <c r="G10" s="2"/>
    </row>
    <row r="11" spans="1:8" x14ac:dyDescent="0.3">
      <c r="D11" s="6"/>
      <c r="E11" s="6"/>
      <c r="F11" s="6"/>
      <c r="G11" s="6"/>
    </row>
    <row r="12" spans="1:8" x14ac:dyDescent="0.3">
      <c r="D12" s="6"/>
      <c r="E12" s="6"/>
      <c r="F12" s="6"/>
      <c r="G12" s="6"/>
    </row>
    <row r="13" spans="1:8" x14ac:dyDescent="0.3">
      <c r="C13">
        <v>1</v>
      </c>
      <c r="D13">
        <v>2</v>
      </c>
      <c r="E13">
        <v>3</v>
      </c>
      <c r="F13">
        <v>4</v>
      </c>
      <c r="G13">
        <v>5</v>
      </c>
    </row>
    <row r="14" spans="1:8" x14ac:dyDescent="0.3">
      <c r="B14" s="40" t="s">
        <v>117</v>
      </c>
      <c r="C14" s="38">
        <v>2026</v>
      </c>
      <c r="D14" s="38">
        <f>C14+1</f>
        <v>2027</v>
      </c>
      <c r="E14" s="38">
        <f t="shared" ref="E14:G14" si="0">D14+1</f>
        <v>2028</v>
      </c>
      <c r="F14" s="38">
        <f t="shared" si="0"/>
        <v>2029</v>
      </c>
      <c r="G14" s="38">
        <f t="shared" si="0"/>
        <v>2030</v>
      </c>
    </row>
    <row r="15" spans="1:8" x14ac:dyDescent="0.3">
      <c r="B15" t="s">
        <v>85</v>
      </c>
      <c r="C15" s="49">
        <f>'3 Statement Model'!F9</f>
        <v>449453.88</v>
      </c>
      <c r="D15" s="49">
        <f>'3 Statement Model'!G9</f>
        <v>485410.19040000002</v>
      </c>
      <c r="E15" s="49">
        <f>'3 Statement Model'!H9</f>
        <v>524243.00563200004</v>
      </c>
      <c r="F15" s="49">
        <f>'3 Statement Model'!I9</f>
        <v>566182.44608256011</v>
      </c>
      <c r="G15" s="49">
        <f>'3 Statement Model'!J9</f>
        <v>611477.04176916496</v>
      </c>
    </row>
    <row r="16" spans="1:8" x14ac:dyDescent="0.3">
      <c r="B16" t="s">
        <v>86</v>
      </c>
      <c r="C16" s="49">
        <f>'3 Statement Model'!F14</f>
        <v>143825.24160000007</v>
      </c>
      <c r="D16" s="49">
        <f>'3 Statement Model'!G14</f>
        <v>155331.26092800006</v>
      </c>
      <c r="E16" s="49">
        <f>'3 Statement Model'!H14</f>
        <v>167757.76180224004</v>
      </c>
      <c r="F16" s="49">
        <f>'3 Statement Model'!I14</f>
        <v>181178.38274641932</v>
      </c>
      <c r="G16" s="49">
        <f>'3 Statement Model'!J14</f>
        <v>195672.65336613281</v>
      </c>
    </row>
    <row r="17" spans="1:7" x14ac:dyDescent="0.3">
      <c r="B17" t="s">
        <v>87</v>
      </c>
      <c r="C17" s="49">
        <f>-C16*'3 Statement Model'!F32</f>
        <v>-22292.91244800001</v>
      </c>
      <c r="D17" s="49">
        <f>-D16*'3 Statement Model'!G32</f>
        <v>-24076.345443840008</v>
      </c>
      <c r="E17" s="49">
        <f>-E16*'3 Statement Model'!H32</f>
        <v>-26002.453079347208</v>
      </c>
      <c r="F17" s="49">
        <f>-F16*'3 Statement Model'!I32</f>
        <v>-28082.649325694994</v>
      </c>
      <c r="G17" s="49">
        <f>-G16*'3 Statement Model'!J32</f>
        <v>-30329.261271750587</v>
      </c>
    </row>
    <row r="18" spans="1:7" x14ac:dyDescent="0.3">
      <c r="B18" t="s">
        <v>88</v>
      </c>
      <c r="C18" s="49">
        <f>C16+C17</f>
        <v>121532.32915200005</v>
      </c>
      <c r="D18" s="49">
        <f t="shared" ref="D18:G18" si="1">D16+D17</f>
        <v>131254.91548416007</v>
      </c>
      <c r="E18" s="49">
        <f t="shared" si="1"/>
        <v>141755.30872289283</v>
      </c>
      <c r="F18" s="49">
        <f t="shared" si="1"/>
        <v>153095.73342072431</v>
      </c>
      <c r="G18" s="49">
        <f t="shared" si="1"/>
        <v>165343.39209438223</v>
      </c>
    </row>
    <row r="19" spans="1:7" x14ac:dyDescent="0.3">
      <c r="B19" t="s">
        <v>56</v>
      </c>
      <c r="C19" s="49">
        <f>'3 Statement Model'!F79</f>
        <v>8471.7800000000007</v>
      </c>
      <c r="D19" s="49">
        <f>'3 Statement Model'!G79</f>
        <v>9323.7921880000013</v>
      </c>
      <c r="E19" s="49">
        <f>'3 Statement Model'!H79</f>
        <v>10214.33948708</v>
      </c>
      <c r="F19" s="49">
        <f>'3 Statement Model'!I79</f>
        <v>11151.541102999603</v>
      </c>
      <c r="G19" s="49">
        <f>'3 Statement Model'!J79</f>
        <v>12143.309590510728</v>
      </c>
    </row>
    <row r="20" spans="1:7" x14ac:dyDescent="0.3">
      <c r="B20" t="s">
        <v>49</v>
      </c>
      <c r="C20" s="49">
        <f>'DCF Valuation'!C15*'3 Statement Model'!F36</f>
        <v>13483.616399999999</v>
      </c>
      <c r="D20" s="49">
        <f>'DCF Valuation'!D15*'3 Statement Model'!G36</f>
        <v>14562.305711999999</v>
      </c>
      <c r="E20" s="49">
        <f>'DCF Valuation'!E15*'3 Statement Model'!H36</f>
        <v>15727.29016896</v>
      </c>
      <c r="F20" s="49">
        <f>'DCF Valuation'!F15*'3 Statement Model'!I36</f>
        <v>16985.473382476805</v>
      </c>
      <c r="G20" s="49">
        <f>'DCF Valuation'!G15*'3 Statement Model'!J36</f>
        <v>18344.311253074949</v>
      </c>
    </row>
    <row r="21" spans="1:7" x14ac:dyDescent="0.3">
      <c r="B21" t="s">
        <v>89</v>
      </c>
      <c r="C21" s="49">
        <f>('3 Statement Model'!F45+'3 Statement Model'!F47+'3 Statement Model'!F48-'3 Statement Model'!F56-'3 Statement Model'!F57)-('3 Statement Model'!E45+'3 Statement Model'!E47+'3 Statement Model'!E48-'3 Statement Model'!E56-'3 Statement Model'!E57)</f>
        <v>-619.71020602737553</v>
      </c>
      <c r="D21" s="49">
        <f>('3 Statement Model'!G45+'3 Statement Model'!G47+'3 Statement Model'!G48-'3 Statement Model'!G56-'3 Statement Model'!G57)-('3 Statement Model'!F45+'3 Statement Model'!F47+'3 Statement Model'!F48-'3 Statement Model'!F56-'3 Statement Model'!F57)</f>
        <v>-1998.7768164822046</v>
      </c>
      <c r="E21" s="49">
        <f>('3 Statement Model'!H45+'3 Statement Model'!H47+'3 Statement Model'!H48-'3 Statement Model'!H56-'3 Statement Model'!H57)-('3 Statement Model'!G45+'3 Statement Model'!G47+'3 Statement Model'!G48-'3 Statement Model'!G56-'3 Statement Model'!G57)</f>
        <v>-2158.6789618007606</v>
      </c>
      <c r="F21" s="49">
        <f>('3 Statement Model'!I45+'3 Statement Model'!I47+'3 Statement Model'!I48-'3 Statement Model'!I56-'3 Statement Model'!I57)-('3 Statement Model'!H45+'3 Statement Model'!H47+'3 Statement Model'!H48-'3 Statement Model'!H56-'3 Statement Model'!H57)</f>
        <v>-2331.3732787448243</v>
      </c>
      <c r="G21" s="49">
        <f>('3 Statement Model'!J45+'3 Statement Model'!J47+'3 Statement Model'!J48-'3 Statement Model'!J56-'3 Statement Model'!J57)-('3 Statement Model'!I45+'3 Statement Model'!I47+'3 Statement Model'!I48-'3 Statement Model'!I56-'3 Statement Model'!I57)</f>
        <v>-2517.8831410444254</v>
      </c>
    </row>
    <row r="22" spans="1:7" x14ac:dyDescent="0.3">
      <c r="B22" s="28" t="s">
        <v>90</v>
      </c>
      <c r="C22" s="30">
        <f>C18+C19-C20-C21</f>
        <v>117140.20295802742</v>
      </c>
      <c r="D22" s="31">
        <f t="shared" ref="D22:G22" si="2">D18+D19-D20-D21</f>
        <v>128015.17877664226</v>
      </c>
      <c r="E22" s="31">
        <f t="shared" si="2"/>
        <v>138401.03700281359</v>
      </c>
      <c r="F22" s="31">
        <f t="shared" si="2"/>
        <v>149593.17441999196</v>
      </c>
      <c r="G22" s="29">
        <f t="shared" si="2"/>
        <v>161660.27357286244</v>
      </c>
    </row>
    <row r="23" spans="1:7" x14ac:dyDescent="0.3">
      <c r="B23" s="27" t="s">
        <v>108</v>
      </c>
      <c r="C23" s="30">
        <f>C22/(1+$C$9)^C13</f>
        <v>106392.91696401557</v>
      </c>
      <c r="D23" s="30">
        <f>D22/(1+$C$9)^D13</f>
        <v>105602.68363388733</v>
      </c>
      <c r="E23" s="30">
        <f>E22/(1+$C$9)^E13</f>
        <v>103695.42022339668</v>
      </c>
      <c r="F23" s="30">
        <f>F22/(1+$C$9)^F13</f>
        <v>101797.88471804398</v>
      </c>
      <c r="G23" s="30">
        <f>G22/(1+$C$9)^G13</f>
        <v>99916.457741754668</v>
      </c>
    </row>
    <row r="26" spans="1:7" x14ac:dyDescent="0.3">
      <c r="B26" s="32" t="s">
        <v>109</v>
      </c>
      <c r="G26" s="2">
        <f>(G22*(1+C10))/(C9-C10)</f>
        <v>2534549.0030483962</v>
      </c>
    </row>
    <row r="27" spans="1:7" x14ac:dyDescent="0.3">
      <c r="A27" t="s">
        <v>18</v>
      </c>
      <c r="B27" s="33" t="s">
        <v>110</v>
      </c>
      <c r="C27" s="19"/>
      <c r="D27" s="19"/>
      <c r="E27" s="19"/>
      <c r="F27" s="19"/>
      <c r="G27" s="41">
        <f>G26/(1+C9)^G13</f>
        <v>1566514.4735967023</v>
      </c>
    </row>
    <row r="28" spans="1:7" x14ac:dyDescent="0.3">
      <c r="B28" s="1" t="s">
        <v>111</v>
      </c>
      <c r="G28" s="2">
        <f>SUM(C23:G23,G27)</f>
        <v>2083919.8368778005</v>
      </c>
    </row>
    <row r="29" spans="1:7" x14ac:dyDescent="0.3">
      <c r="B29" t="s">
        <v>112</v>
      </c>
      <c r="G29" s="49">
        <f>'3 Statement Model'!E112</f>
        <v>35934</v>
      </c>
    </row>
    <row r="30" spans="1:7" x14ac:dyDescent="0.3">
      <c r="B30" s="19" t="s">
        <v>96</v>
      </c>
      <c r="C30" s="19"/>
      <c r="D30" s="19"/>
      <c r="E30" s="19"/>
      <c r="F30" s="19"/>
      <c r="G30" s="50">
        <f>'3 Statement Model'!E59+'3 Statement Model'!E60+'3 Statement Model'!E62</f>
        <v>98657</v>
      </c>
    </row>
    <row r="31" spans="1:7" x14ac:dyDescent="0.3">
      <c r="B31" s="1" t="s">
        <v>99</v>
      </c>
      <c r="G31" s="2">
        <f>G28+G29-G30</f>
        <v>2021196.8368778005</v>
      </c>
    </row>
    <row r="32" spans="1:7" x14ac:dyDescent="0.3">
      <c r="B32" s="19" t="s">
        <v>113</v>
      </c>
      <c r="C32" s="19"/>
      <c r="D32" s="19"/>
      <c r="E32" s="19"/>
      <c r="F32" s="19"/>
      <c r="G32" s="50">
        <f>'3 Statement Model'!E39</f>
        <v>15005</v>
      </c>
    </row>
    <row r="33" spans="2:8" x14ac:dyDescent="0.3">
      <c r="B33" s="1" t="s">
        <v>114</v>
      </c>
      <c r="G33" s="55">
        <f>G31/G32</f>
        <v>134.70155527342888</v>
      </c>
    </row>
    <row r="39" spans="2:8" x14ac:dyDescent="0.3">
      <c r="B39" s="37" t="s">
        <v>122</v>
      </c>
      <c r="C39" s="38"/>
      <c r="D39" s="38"/>
      <c r="E39" s="38"/>
      <c r="F39" s="38"/>
      <c r="G39" s="38"/>
      <c r="H39" s="53"/>
    </row>
    <row r="40" spans="2:8" x14ac:dyDescent="0.3">
      <c r="B40" s="55">
        <f>G33</f>
        <v>134.70155527342888</v>
      </c>
      <c r="C40" s="7">
        <v>0.08</v>
      </c>
      <c r="D40" s="7">
        <v>0.09</v>
      </c>
      <c r="E40" s="7">
        <v>9.5000000000000001E-2</v>
      </c>
      <c r="F40" s="7">
        <v>0.10100000000000001</v>
      </c>
      <c r="G40" s="7">
        <v>0.11</v>
      </c>
      <c r="H40" s="7">
        <v>0.12</v>
      </c>
    </row>
    <row r="41" spans="2:8" x14ac:dyDescent="0.3">
      <c r="B41" s="7">
        <v>0.02</v>
      </c>
      <c r="C41" s="56">
        <f t="dataTable" ref="C41:H45" dt2D="1" dtr="1" r1="C9" r2="C10"/>
        <v>156.9965992912461</v>
      </c>
      <c r="D41" s="57">
        <v>133.38218282495768</v>
      </c>
      <c r="E41" s="57">
        <v>123.94381924983423</v>
      </c>
      <c r="F41" s="57">
        <v>114.1617198427942</v>
      </c>
      <c r="G41" s="57">
        <v>101.94450015108592</v>
      </c>
      <c r="H41" s="58">
        <v>90.961675374926017</v>
      </c>
    </row>
    <row r="42" spans="2:8" x14ac:dyDescent="0.3">
      <c r="B42" s="7">
        <v>2.5000000000000001E-2</v>
      </c>
      <c r="C42" s="59">
        <v>168.99513786801296</v>
      </c>
      <c r="D42" s="60">
        <v>141.76943933847971</v>
      </c>
      <c r="E42" s="60">
        <v>131.08091517499031</v>
      </c>
      <c r="F42" s="60">
        <v>120.11682489214211</v>
      </c>
      <c r="G42" s="60">
        <v>106.58306853640406</v>
      </c>
      <c r="H42" s="61">
        <v>94.565317193106793</v>
      </c>
    </row>
    <row r="43" spans="2:8" x14ac:dyDescent="0.3">
      <c r="B43" s="7">
        <v>0.03</v>
      </c>
      <c r="C43" s="59">
        <v>183.39338416013325</v>
      </c>
      <c r="D43" s="60">
        <v>151.55457193758878</v>
      </c>
      <c r="E43" s="60">
        <v>139.31602585786274</v>
      </c>
      <c r="F43" s="60">
        <v>126.91067713153906</v>
      </c>
      <c r="G43" s="60">
        <v>111.80145796988695</v>
      </c>
      <c r="H43" s="61">
        <v>98.569363657752106</v>
      </c>
    </row>
    <row r="44" spans="2:8" x14ac:dyDescent="0.3">
      <c r="B44" s="7">
        <v>3.5000000000000003E-2</v>
      </c>
      <c r="C44" s="59">
        <v>200.99124073939137</v>
      </c>
      <c r="D44" s="60">
        <v>163.11881955471767</v>
      </c>
      <c r="E44" s="60">
        <v>148.92365498788055</v>
      </c>
      <c r="F44" s="60">
        <v>134.73390092235974</v>
      </c>
      <c r="G44" s="60">
        <v>117.71563266116758</v>
      </c>
      <c r="H44" s="61">
        <v>103.04447441235568</v>
      </c>
    </row>
    <row r="45" spans="2:8" x14ac:dyDescent="0.3">
      <c r="B45" s="7">
        <v>0.04</v>
      </c>
      <c r="C45" s="62">
        <v>222.98856146346398</v>
      </c>
      <c r="D45" s="63">
        <v>176.99591669527237</v>
      </c>
      <c r="E45" s="63">
        <v>160.27812577790164</v>
      </c>
      <c r="F45" s="63">
        <v>143.83962041659368</v>
      </c>
      <c r="G45" s="63">
        <v>124.47468945120258</v>
      </c>
      <c r="H45" s="64">
        <v>108.07897401128471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EC2F-8668-47F7-A2AC-769E6E5C8F97}">
  <dimension ref="A2:J24"/>
  <sheetViews>
    <sheetView showGridLines="0" workbookViewId="0"/>
  </sheetViews>
  <sheetFormatPr defaultRowHeight="14.4" x14ac:dyDescent="0.3"/>
  <cols>
    <col min="2" max="2" width="25.44140625" customWidth="1"/>
    <col min="3" max="3" width="20.33203125" bestFit="1" customWidth="1"/>
  </cols>
  <sheetData>
    <row r="2" spans="1:10" s="19" customFormat="1" ht="25.8" x14ac:dyDescent="0.5">
      <c r="B2" s="20" t="s">
        <v>91</v>
      </c>
    </row>
    <row r="4" spans="1:10" x14ac:dyDescent="0.3">
      <c r="A4" t="s">
        <v>18</v>
      </c>
      <c r="B4" s="38" t="s">
        <v>91</v>
      </c>
      <c r="C4" s="38"/>
      <c r="D4" s="38"/>
      <c r="E4" s="38"/>
      <c r="F4" s="38"/>
      <c r="G4" s="38"/>
      <c r="H4" s="38"/>
      <c r="I4" s="38"/>
      <c r="J4" s="38"/>
    </row>
    <row r="5" spans="1:10" x14ac:dyDescent="0.3">
      <c r="B5" s="1" t="s">
        <v>94</v>
      </c>
    </row>
    <row r="6" spans="1:10" x14ac:dyDescent="0.3">
      <c r="B6" s="1" t="s">
        <v>95</v>
      </c>
    </row>
    <row r="7" spans="1:10" x14ac:dyDescent="0.3">
      <c r="B7" s="1" t="s">
        <v>106</v>
      </c>
      <c r="C7" s="25">
        <v>319.97000000000003</v>
      </c>
    </row>
    <row r="9" spans="1:10" x14ac:dyDescent="0.3">
      <c r="B9" t="s">
        <v>96</v>
      </c>
      <c r="C9" s="51">
        <f>'3 Statement Model'!D59+'3 Statement Model'!D60+'3 Statement Model'!D62</f>
        <v>106629</v>
      </c>
    </row>
    <row r="10" spans="1:10" x14ac:dyDescent="0.3">
      <c r="B10" t="s">
        <v>97</v>
      </c>
      <c r="C10" s="7">
        <f>C9/C22</f>
        <v>2.2160101895760089E-2</v>
      </c>
    </row>
    <row r="11" spans="1:10" x14ac:dyDescent="0.3">
      <c r="B11" t="s">
        <v>98</v>
      </c>
      <c r="C11" s="26">
        <v>4.2000000000000003E-2</v>
      </c>
    </row>
    <row r="12" spans="1:10" x14ac:dyDescent="0.3">
      <c r="B12" t="s">
        <v>20</v>
      </c>
      <c r="C12" s="52">
        <f>'3 Statement Model'!F32</f>
        <v>0.155</v>
      </c>
    </row>
    <row r="15" spans="1:10" x14ac:dyDescent="0.3">
      <c r="B15" t="s">
        <v>99</v>
      </c>
      <c r="C15" s="2">
        <f>C7*'3 Statement Model'!F39</f>
        <v>4705126.8530000001</v>
      </c>
    </row>
    <row r="16" spans="1:10" x14ac:dyDescent="0.3">
      <c r="B16" t="s">
        <v>100</v>
      </c>
      <c r="C16" s="7">
        <f>C15/C22</f>
        <v>0.97783989810423988</v>
      </c>
    </row>
    <row r="17" spans="1:3" x14ac:dyDescent="0.3">
      <c r="B17" t="s">
        <v>101</v>
      </c>
      <c r="C17" s="21">
        <f>C18+(C19*C20)</f>
        <v>0.10250000000000001</v>
      </c>
    </row>
    <row r="18" spans="1:3" x14ac:dyDescent="0.3">
      <c r="B18" t="s">
        <v>102</v>
      </c>
      <c r="C18" s="15">
        <v>4.8000000000000001E-2</v>
      </c>
    </row>
    <row r="19" spans="1:3" x14ac:dyDescent="0.3">
      <c r="B19" t="s">
        <v>103</v>
      </c>
      <c r="C19" s="22">
        <v>1.0900000000000001</v>
      </c>
    </row>
    <row r="20" spans="1:3" x14ac:dyDescent="0.3">
      <c r="B20" t="s">
        <v>104</v>
      </c>
      <c r="C20" s="15">
        <v>0.05</v>
      </c>
    </row>
    <row r="22" spans="1:3" x14ac:dyDescent="0.3">
      <c r="B22" t="s">
        <v>105</v>
      </c>
      <c r="C22" s="2">
        <f>C15+C9</f>
        <v>4811755.8530000001</v>
      </c>
    </row>
    <row r="24" spans="1:3" x14ac:dyDescent="0.3">
      <c r="A24" t="s">
        <v>18</v>
      </c>
      <c r="B24" s="34" t="s">
        <v>91</v>
      </c>
      <c r="C24" s="35">
        <f>(C16*C17)+(C10*C11*(1-C12))</f>
        <v>0.10101505157196511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 Statement Model</vt:lpstr>
      <vt:lpstr>DCF Valuation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 Hanenburg</dc:creator>
  <cp:lastModifiedBy>Griffin Hanenburg</cp:lastModifiedBy>
  <dcterms:created xsi:type="dcterms:W3CDTF">2026-08-28T14:53:09Z</dcterms:created>
  <dcterms:modified xsi:type="dcterms:W3CDTF">2026-09-06T17:30:08Z</dcterms:modified>
</cp:coreProperties>
</file>